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fs\public\Чачаев\"/>
    </mc:Choice>
  </mc:AlternateContent>
  <xr:revisionPtr revIDLastSave="0" documentId="13_ncr:1_{8733BD93-6744-437E-A801-855F542622E8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ГЭСН 06-03-004-13" sheetId="1" r:id="rId1"/>
    <sheet name="Лист2" sheetId="4" r:id="rId2"/>
    <sheet name="пример" sheetId="2" r:id="rId3"/>
    <sheet name="по_кац" sheetId="5" r:id="rId4"/>
    <sheet name="ГЭСН 09-06-006-03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3" i="2" l="1"/>
  <c r="Z14" i="2" s="1"/>
  <c r="Z6" i="2"/>
  <c r="Z8" i="2" s="1"/>
</calcChain>
</file>

<file path=xl/sharedStrings.xml><?xml version="1.0" encoding="utf-8"?>
<sst xmlns="http://schemas.openxmlformats.org/spreadsheetml/2006/main" count="495" uniqueCount="193">
  <si>
    <t>ГЭСН 06-03-004-13</t>
  </si>
  <si>
    <t xml:space="preserve">Установка закладных деталей весом: свыше 20 кг </t>
  </si>
  <si>
    <t xml:space="preserve"> т</t>
  </si>
  <si>
    <t>Состав работ:</t>
  </si>
  <si>
    <t>Вырезка и заделка отверстий в опалубке (при необходимости), установка и закрепление закладных деталей.</t>
  </si>
  <si>
    <t>Ресурсы:</t>
  </si>
  <si>
    <t>Код</t>
  </si>
  <si>
    <t>Наименование</t>
  </si>
  <si>
    <t>К-во</t>
  </si>
  <si>
    <t>Ед.</t>
  </si>
  <si>
    <t>1-100-35</t>
  </si>
  <si>
    <t>Затраты труда рабочих (Средний разряд - 3,5)</t>
  </si>
  <si>
    <t>чел.-ч</t>
  </si>
  <si>
    <t>Затраты труда машинистов</t>
  </si>
  <si>
    <t>0,33</t>
  </si>
  <si>
    <t>91.05.05-015</t>
  </si>
  <si>
    <t>Краны на автомобильном ходу, грузоподъемность 16 т</t>
  </si>
  <si>
    <t>0,14</t>
  </si>
  <si>
    <t>маш.-ч</t>
  </si>
  <si>
    <t>91.14.02-001</t>
  </si>
  <si>
    <t>Автомобили бортовые, грузоподъемность до 5 т</t>
  </si>
  <si>
    <t>0,19</t>
  </si>
  <si>
    <t>08.4.01.02</t>
  </si>
  <si>
    <t>Детали закладные и накладные</t>
  </si>
  <si>
    <t>т</t>
  </si>
  <si>
    <t>https://fsnb2022.ru/gesn/gesn06-03-004-13.html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</si>
  <si>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</si>
  <si>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</si>
  <si>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</si>
  <si>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</si>
  <si>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</si>
  <si>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на единицу измерения</t>
  </si>
  <si>
    <t>коэффициенты</t>
  </si>
  <si>
    <t>всего с учетом коэффициентов</t>
  </si>
  <si>
    <t>1</t>
  </si>
  <si>
    <t>ГЭСН06-03-004-13</t>
  </si>
  <si>
    <t>Установка закладных деталей весом: свыше 20 кг</t>
  </si>
  <si>
    <t>ОТ(ЗТ)</t>
  </si>
  <si>
    <t>Средний разряд работы 3,5</t>
  </si>
  <si>
    <t>2</t>
  </si>
  <si>
    <t>ЭМ</t>
  </si>
  <si>
    <t>ОТм(ЗТм)</t>
  </si>
  <si>
    <t>4-100-060</t>
  </si>
  <si>
    <t xml:space="preserve">ОТм(Зтм) Средний разряд машинистов 6 </t>
  </si>
  <si>
    <t>4-100-040</t>
  </si>
  <si>
    <t xml:space="preserve">ОТм(Зтм) Средний разряд машинистов 4 </t>
  </si>
  <si>
    <t>Приказ от 30.01.2024 № 55/пр прил.5 табл.1 п.5</t>
  </si>
  <si>
    <t>Производство работ осуществляется в стесненных условиях населенных пунктов ОЗП=1,15; ЭМ=1,15 к расх.; ЗПМ=1,15; ТЗ=1,15; ТЗМ=1,15</t>
  </si>
  <si>
    <t>Сметная стоимость, руб.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</si>
  <si>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</si>
  <si>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</si>
  <si>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</si>
  <si>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</si>
  <si>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Итого прямые затраты</t>
  </si>
  <si>
    <t>ФОТ</t>
  </si>
  <si>
    <t>%</t>
  </si>
  <si>
    <t>Всего по позиции</t>
  </si>
  <si>
    <t>шт</t>
  </si>
  <si>
    <t>№ ГЭСН из Приложений к Приказу Министерства строительства и жилищно-коммунального хозяйства Российской Федерации от 30 декабря 2021 г. N 1046/пр</t>
  </si>
  <si>
    <t>Ниименование ГЭСНа из Приложений к Приказу Министерства строительства и жилищно-коммунального хозяйства Российской Федерации от 30 декабря 2021 г. N 1046/пр</t>
  </si>
  <si>
    <t>как автоматом выбирать автоматом повышающие коэф пока не определился</t>
  </si>
  <si>
    <t>Код ресурса из выбранного ГЭСН</t>
  </si>
  <si>
    <t>Наименование ресурса из выбранного ГЭСН</t>
  </si>
  <si>
    <t>ед измерения из выбранного ГЭСН</t>
  </si>
  <si>
    <t>норма из выбранного ГЭСН</t>
  </si>
  <si>
    <t>ед измерения из ВОР</t>
  </si>
  <si>
    <t>по умолчанию = 1</t>
  </si>
  <si>
    <t>кол-во из ВОР</t>
  </si>
  <si>
    <t>4</t>
  </si>
  <si>
    <t>ГЭСН09-06-006-03</t>
  </si>
  <si>
    <t>Монтаж стационарных конструкций сцены: направляющие с каркасами ограждений (Прим.)</t>
  </si>
  <si>
    <t>1-100-39</t>
  </si>
  <si>
    <t>Средний разряд работы 3,9</t>
  </si>
  <si>
    <t>91.06.03-062</t>
  </si>
  <si>
    <t>Лебедки электрические тяговым усилием до 31,39 кН (3,2 т)</t>
  </si>
  <si>
    <t>91.06.03-063</t>
  </si>
  <si>
    <t>Лебедки электрические тяговым усилием до 49,05 кН (5 т)</t>
  </si>
  <si>
    <t>91.17.04-042</t>
  </si>
  <si>
    <t>Аппараты для газовой сварки и резки</t>
  </si>
  <si>
    <t>91.17.04-171</t>
  </si>
  <si>
    <t>Аппараты сварочные для ручной дуговой сварки, сварочный ток до 500 А</t>
  </si>
  <si>
    <t>М</t>
  </si>
  <si>
    <t>01.3.02.08-0001</t>
  </si>
  <si>
    <t>Кислород газообразный технический</t>
  </si>
  <si>
    <t>м3</t>
  </si>
  <si>
    <t>01.3.02.09-0022</t>
  </si>
  <si>
    <t>Пропан-бутан смесь техническая</t>
  </si>
  <si>
    <t>кг</t>
  </si>
  <si>
    <t>01.7.03.04-0001</t>
  </si>
  <si>
    <t>Электроэнергия</t>
  </si>
  <si>
    <t>кВт-ч</t>
  </si>
  <si>
    <t>01.7.11.07-0227</t>
  </si>
  <si>
    <t>Электроды сварочные для сварки низколегированных и углеродистых сталей УОНИ 13/45, Э42А, диаметр 4-5 мм</t>
  </si>
  <si>
    <t>01.7.15.03-0042</t>
  </si>
  <si>
    <t>Болты с гайками и шайбами строительные</t>
  </si>
  <si>
    <t>01.7.15.06-0111</t>
  </si>
  <si>
    <t>Гвозди строительные</t>
  </si>
  <si>
    <t>01.7.20.08-0071</t>
  </si>
  <si>
    <t>Канат пеньковый тросовой свивки, пропитанный, диаметр 26 мм</t>
  </si>
  <si>
    <t>07.2.07.12-0011</t>
  </si>
  <si>
    <t>Металлоконструкции зданий и сооружений с преобладанием гнутых профилей и круглых труб</t>
  </si>
  <si>
    <t>08.2.02.11-0007</t>
  </si>
  <si>
    <t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</si>
  <si>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>10 м</t>
  </si>
  <si>
    <t>08.3.03.06-0002</t>
  </si>
  <si>
    <t>Проволока горячекатаная в мотках, диаметр 6,3-6,5 мм</t>
  </si>
  <si>
    <t>08.3.11.01-1106</t>
  </si>
  <si>
    <t>Швеллеры стальные горячекатаные, марки стали Ст3пс, Ст3сп, № 40У, № 40П</t>
  </si>
  <si>
    <t>11.1.03.06-0078</t>
  </si>
  <si>
    <t>Доска обрезная хвойных пород, естественной влажности, длина 2-6,5 м, ширина 100-250 мм, толщина 44-50 мм, сорт II</t>
  </si>
  <si>
    <t>14.4.01.01-0003</t>
  </si>
  <si>
    <t>Грунтовка ГФ-021</t>
  </si>
  <si>
    <t>14.5.09.07-0030</t>
  </si>
  <si>
    <t>Растворитель Р-4</t>
  </si>
  <si>
    <t>Пр/812-009.0-1</t>
  </si>
  <si>
    <t>НР Строительные металлические конструкции</t>
  </si>
  <si>
    <t>Пр/774-009.0</t>
  </si>
  <si>
    <t>СП Строительные металлические конструкции</t>
  </si>
  <si>
    <t>гр. 7 = гр. 5 * гр6</t>
  </si>
  <si>
    <t>5</t>
  </si>
  <si>
    <t>ТЦ_07.2.03.00_78_7810391323_14.11.2025_02_1.1</t>
  </si>
  <si>
    <t>Крепежная рама</t>
  </si>
  <si>
    <t>выбор расценки производится из гр.8 сплит формы
идентификация производится по коду ресупса, указанному в ГЭСН</t>
  </si>
  <si>
    <t>гр. 12 = гр.7 * гр.10 * гр.11</t>
  </si>
  <si>
    <t>на повыш коэф другой приказ</t>
  </si>
  <si>
    <t>Код ресурса на машинистов, определяется из 
СМЕТНЫЕ ЦЕНЫ НА ЭКСПЛУАТАЦИЮ МАШИН И МЕХАНИЗМОВ В БАЗИСНОМ УРОВНЕ ЦЕН,
утвержденного
Приложение N 7 к Приказу Министерства строительства и жилищно-коммунального хозяйства Российской Федерации от 30 декабря 2021 г. N 1046/пр</t>
  </si>
  <si>
    <t>Наименование ресурса по коду ресурса из гр.2 выбираетс из гр. 3 сплит-формы</t>
  </si>
  <si>
    <t>Наименование ресурса по коду ресурса из гр.2 настоящей сметы выбираетс из гр. 2 сплит-формы</t>
  </si>
  <si>
    <t>норма из выбранного ГЭСН, по коду ресурса соответствующей единицы техники</t>
  </si>
  <si>
    <t>выбор расценки производится из гр.8 сплит формы
идентификация производится по коду ресурса, указанному гр 2 настоящей сметы</t>
  </si>
  <si>
    <t>ГЭСН 09-06-006-03</t>
  </si>
  <si>
    <t xml:space="preserve">Монтаж стационарных конструкций сцены: направляющие с каркасами ограждений </t>
  </si>
  <si>
    <t>Установка и крепление стальных конструкций сцены и сценических устройств.</t>
  </si>
  <si>
    <t>Устройство подмостей.</t>
  </si>
  <si>
    <t>Антикоррозийное покрытие сварных швов.</t>
  </si>
  <si>
    <t>Затраты труда рабочих (Средний разряд - 3,9)</t>
  </si>
  <si>
    <t>230,21</t>
  </si>
  <si>
    <t>0,86</t>
  </si>
  <si>
    <t>0,73</t>
  </si>
  <si>
    <t>2,9</t>
  </si>
  <si>
    <t>5,29</t>
  </si>
  <si>
    <t>0,13</t>
  </si>
  <si>
    <t>1,04</t>
  </si>
  <si>
    <t>31,7</t>
  </si>
  <si>
    <t>0,8</t>
  </si>
  <si>
    <t>0,24</t>
  </si>
  <si>
    <t>32,952</t>
  </si>
  <si>
    <t>25,9</t>
  </si>
  <si>
    <t>0,3</t>
  </si>
  <si>
    <t>0,00001</t>
  </si>
  <si>
    <t>0,0001</t>
  </si>
  <si>
    <t>0,027</t>
  </si>
  <si>
    <t>0,0187</t>
  </si>
  <si>
    <t>0,00003</t>
  </si>
  <si>
    <t>0,00194</t>
  </si>
  <si>
    <t>0,017</t>
  </si>
  <si>
    <t>0,00431</t>
  </si>
  <si>
    <t>0,0006</t>
  </si>
  <si>
    <t>07.2.06.06</t>
  </si>
  <si>
    <t>Профили стальные оцинкованные в комплекте с направляющими и стоечными</t>
  </si>
  <si>
    <t>П</t>
  </si>
  <si>
    <t>https://fsnb2022.ru/gesn/gesn09-06-006-03.html</t>
  </si>
  <si>
    <t>если в гр. 8 сплит-формы прочерк, берутся данные из гр.5 сплит-формы</t>
  </si>
  <si>
    <t>если в гр. 8 сплит-формы прочерк, берутся данные из гр.6 сплит-формы</t>
  </si>
  <si>
    <t>если в гр. 8 сплит-формы прочерк, то гр. 8 * гр.9 настоящей счеты</t>
  </si>
  <si>
    <t>необходимость машиниста из 
СМЕТНЫЕ ЦЕНЫ НА ЭКСПЛУАТАЦИЮ МАШИН И МЕХАНИЗМОВ В БАЗИСНОМ УРОВНЕ ЦЕН,
утвержденного
Приложение N 7 к Приказу Министерства строительства и жилищно-коммунального хозяйства Российской Федерации от 30 декабря 2021 г. N 1046/пр</t>
  </si>
  <si>
    <t>значение из гр.8
если в гр. 8 сплит-формы прочерк, то гр. 8 * гр.9 настоящей счеты</t>
  </si>
  <si>
    <t>выбор расценки производится из гр.8 сплит формы
идентификация производится по коду ресурса, указанному гр 2 настоящей сметы
если в гр. 8 сплит-формы прочерк, то гр. 8 * гр.9 настоящей счеты</t>
  </si>
  <si>
    <t>Код ресурса, услуги</t>
  </si>
  <si>
    <t>Наименование строительного ресурса, услуги</t>
  </si>
  <si>
    <r>
      <t>Отпускная цена в</t>
    </r>
    <r>
      <rPr>
        <b/>
        <sz val="12"/>
        <color rgb="FFFF0000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>уровне цен по состоянию на 01.01.2022, руб.</t>
    </r>
  </si>
  <si>
    <t>Сметная цена
в уровне цен 
по состоянию
на 01.01.2022, руб.</t>
  </si>
  <si>
    <t>Номер группы однородных строительных ресурсов</t>
  </si>
  <si>
    <t>Наименование группы однородных строительных ресурсов</t>
  </si>
  <si>
    <t>Сметная цена в текущем уровне цен, руб.</t>
  </si>
  <si>
    <t>Индекс изменения сметной стоимости к группе однородных строительных ресурсов</t>
  </si>
  <si>
    <t>х</t>
  </si>
  <si>
    <t xml:space="preserve"> </t>
  </si>
  <si>
    <t>Грунт скальный из гранита М 1000, фракция 0-200 мм</t>
  </si>
  <si>
    <t>Скальные грунты</t>
  </si>
  <si>
    <t>-</t>
  </si>
  <si>
    <t>тогда КАЦ</t>
  </si>
  <si>
    <t>02.1.01.02-0102</t>
  </si>
  <si>
    <t>Грунт скальный из гранита М 1000, фракция 200-500 мм</t>
  </si>
  <si>
    <t>02.1.01.02-0104</t>
  </si>
  <si>
    <t>Грунт скальный из гранита М 1000, фракция 0-500 мм</t>
  </si>
  <si>
    <t>02.1.01.02-0106</t>
  </si>
  <si>
    <t>Грунт скальный из гранита М 1200, фракция 0-200 мм</t>
  </si>
  <si>
    <t>02.1.01.02-0108</t>
  </si>
  <si>
    <t>Грунт скальный из гранита М 1200, фракция 200-500 мм</t>
  </si>
  <si>
    <t>02.1.01.02-0110</t>
  </si>
  <si>
    <t>Грунт скальный из гранита М 1200, фракция 0-500 мм</t>
  </si>
  <si>
    <t>если в гр. 8 сплит-формы прочерк, берутся данные из гр.5 сплит-формы
если в гр.8 сплит-формы данные то тогда ничего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</si>
</sst>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000"/>
    <numFmt numFmtId="166" formatCode="0.000000"/>
    <numFmt numFmtId="167" formatCode="0.0"/>
    <numFmt numFmtId="168" formatCode="0.000"/>
    <numFmt numFmtId="169" formatCode="0.000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u/>
      <sz val="11"/>
      <color rgb="FF0000FF"/>
      <name val="Calibri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sz val="8"/>
      <name val="Arial"/>
      <charset val="204"/>
    </font>
    <font>
      <b/>
      <sz val="8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8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u/>
      <sz val="11"/>
      <color rgb="FF0000FF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1" fillId="0" borderId="1" xfId="0" applyFont="1" applyBorder="1"/>
    <xf numFmtId="0" fontId="0" fillId="0" borderId="1" xfId="0" applyBorder="1"/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left" vertical="top" wrapText="1"/>
    </xf>
    <xf numFmtId="49" fontId="5" fillId="0" borderId="4" xfId="0" applyNumberFormat="1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1" fontId="5" fillId="0" borderId="4" xfId="0" applyNumberFormat="1" applyFont="1" applyBorder="1" applyAlignment="1">
      <alignment horizontal="center" vertical="top" wrapText="1"/>
    </xf>
    <xf numFmtId="164" fontId="5" fillId="0" borderId="4" xfId="0" applyNumberFormat="1" applyFont="1" applyBorder="1" applyAlignment="1">
      <alignment horizontal="center" vertical="top" wrapText="1"/>
    </xf>
    <xf numFmtId="49" fontId="6" fillId="0" borderId="6" xfId="0" applyNumberFormat="1" applyFont="1" applyBorder="1" applyAlignment="1">
      <alignment vertical="center" wrapText="1"/>
    </xf>
    <xf numFmtId="49" fontId="6" fillId="0" borderId="0" xfId="0" applyNumberFormat="1" applyFont="1" applyAlignment="1">
      <alignment horizontal="right" vertical="top" wrapText="1"/>
    </xf>
    <xf numFmtId="49" fontId="6" fillId="0" borderId="0" xfId="0" applyNumberFormat="1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164" fontId="6" fillId="0" borderId="0" xfId="0" applyNumberFormat="1" applyFont="1" applyAlignment="1">
      <alignment horizontal="center" vertical="top" wrapText="1"/>
    </xf>
    <xf numFmtId="49" fontId="6" fillId="0" borderId="6" xfId="0" applyNumberFormat="1" applyFont="1" applyBorder="1" applyAlignment="1">
      <alignment horizontal="right" vertical="center" wrapText="1"/>
    </xf>
    <xf numFmtId="1" fontId="6" fillId="0" borderId="0" xfId="0" applyNumberFormat="1" applyFont="1" applyAlignment="1">
      <alignment horizontal="center" vertical="top" wrapText="1"/>
    </xf>
    <xf numFmtId="2" fontId="6" fillId="0" borderId="0" xfId="0" applyNumberFormat="1" applyFont="1" applyAlignment="1">
      <alignment horizontal="center" vertical="top" wrapText="1"/>
    </xf>
    <xf numFmtId="165" fontId="6" fillId="0" borderId="0" xfId="0" applyNumberFormat="1" applyFont="1" applyAlignment="1">
      <alignment horizontal="center" vertical="top" wrapText="1"/>
    </xf>
    <xf numFmtId="49" fontId="6" fillId="0" borderId="6" xfId="0" applyNumberFormat="1" applyFont="1" applyBorder="1" applyAlignment="1">
      <alignment horizontal="right" vertical="top" wrapText="1"/>
    </xf>
    <xf numFmtId="49" fontId="4" fillId="0" borderId="6" xfId="0" applyNumberFormat="1" applyFont="1" applyBorder="1" applyAlignment="1">
      <alignment vertical="center" wrapText="1"/>
    </xf>
    <xf numFmtId="49" fontId="4" fillId="0" borderId="0" xfId="0" applyNumberFormat="1" applyFont="1" applyAlignment="1">
      <alignment horizontal="right" vertical="top" wrapText="1"/>
    </xf>
    <xf numFmtId="49" fontId="6" fillId="2" borderId="0" xfId="0" applyNumberFormat="1" applyFont="1" applyFill="1" applyAlignment="1">
      <alignment horizontal="right" vertical="top" wrapText="1"/>
    </xf>
    <xf numFmtId="49" fontId="6" fillId="2" borderId="0" xfId="0" applyNumberFormat="1" applyFont="1" applyFill="1" applyAlignment="1">
      <alignment horizontal="center" vertical="top" wrapText="1"/>
    </xf>
    <xf numFmtId="2" fontId="6" fillId="2" borderId="0" xfId="0" applyNumberFormat="1" applyFont="1" applyFill="1" applyAlignment="1">
      <alignment horizontal="center" vertical="top" wrapText="1"/>
    </xf>
    <xf numFmtId="165" fontId="6" fillId="2" borderId="0" xfId="0" applyNumberFormat="1" applyFont="1" applyFill="1" applyAlignment="1">
      <alignment horizontal="center" vertical="top" wrapText="1"/>
    </xf>
    <xf numFmtId="0" fontId="6" fillId="0" borderId="0" xfId="0" applyFont="1" applyAlignment="1">
      <alignment horizontal="right" vertical="top" wrapText="1"/>
    </xf>
    <xf numFmtId="4" fontId="6" fillId="0" borderId="7" xfId="0" applyNumberFormat="1" applyFont="1" applyBorder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center" vertical="top" wrapText="1"/>
    </xf>
    <xf numFmtId="4" fontId="6" fillId="0" borderId="0" xfId="0" applyNumberFormat="1" applyFont="1" applyAlignment="1">
      <alignment horizontal="right" vertical="top" wrapText="1"/>
    </xf>
    <xf numFmtId="2" fontId="6" fillId="0" borderId="7" xfId="0" applyNumberFormat="1" applyFont="1" applyBorder="1" applyAlignment="1">
      <alignment horizontal="right" vertical="top" wrapText="1"/>
    </xf>
    <xf numFmtId="2" fontId="6" fillId="0" borderId="0" xfId="0" applyNumberFormat="1" applyFont="1" applyAlignment="1">
      <alignment horizontal="right" vertical="top" wrapText="1"/>
    </xf>
    <xf numFmtId="0" fontId="5" fillId="0" borderId="4" xfId="0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5" xfId="0" applyNumberFormat="1" applyFont="1" applyBorder="1" applyAlignment="1">
      <alignment horizontal="right" vertical="top" wrapText="1"/>
    </xf>
    <xf numFmtId="0" fontId="8" fillId="0" borderId="0" xfId="0" applyFont="1" applyAlignment="1">
      <alignment wrapText="1"/>
    </xf>
    <xf numFmtId="0" fontId="8" fillId="0" borderId="0" xfId="0" applyFont="1"/>
    <xf numFmtId="49" fontId="7" fillId="0" borderId="3" xfId="0" applyNumberFormat="1" applyFont="1" applyBorder="1" applyAlignment="1">
      <alignment horizontal="center" vertical="top" wrapText="1"/>
    </xf>
    <xf numFmtId="49" fontId="7" fillId="0" borderId="4" xfId="0" applyNumberFormat="1" applyFont="1" applyBorder="1" applyAlignment="1">
      <alignment horizontal="left" vertical="top" wrapText="1"/>
    </xf>
    <xf numFmtId="49" fontId="7" fillId="0" borderId="4" xfId="0" applyNumberFormat="1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1" fontId="7" fillId="0" borderId="4" xfId="0" applyNumberFormat="1" applyFont="1" applyBorder="1" applyAlignment="1">
      <alignment horizontal="center" vertical="top" wrapText="1"/>
    </xf>
    <xf numFmtId="166" fontId="7" fillId="0" borderId="4" xfId="0" applyNumberFormat="1" applyFont="1" applyBorder="1" applyAlignment="1">
      <alignment horizontal="center" vertical="top" wrapText="1"/>
    </xf>
    <xf numFmtId="49" fontId="10" fillId="0" borderId="0" xfId="0" applyNumberFormat="1" applyFont="1" applyAlignment="1">
      <alignment horizontal="right" vertical="top" wrapText="1"/>
    </xf>
    <xf numFmtId="49" fontId="9" fillId="0" borderId="6" xfId="0" applyNumberFormat="1" applyFont="1" applyBorder="1" applyAlignment="1">
      <alignment vertical="center" wrapText="1"/>
    </xf>
    <xf numFmtId="49" fontId="9" fillId="0" borderId="0" xfId="0" applyNumberFormat="1" applyFont="1" applyAlignment="1">
      <alignment horizontal="right" vertical="top" wrapText="1"/>
    </xf>
    <xf numFmtId="49" fontId="9" fillId="0" borderId="0" xfId="0" applyNumberFormat="1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165" fontId="9" fillId="0" borderId="0" xfId="0" applyNumberFormat="1" applyFont="1" applyAlignment="1">
      <alignment horizontal="center" vertical="top" wrapText="1"/>
    </xf>
    <xf numFmtId="49" fontId="9" fillId="0" borderId="6" xfId="0" applyNumberFormat="1" applyFont="1" applyBorder="1" applyAlignment="1">
      <alignment horizontal="right" vertical="center" wrapText="1"/>
    </xf>
    <xf numFmtId="2" fontId="9" fillId="0" borderId="0" xfId="0" applyNumberFormat="1" applyFont="1" applyAlignment="1">
      <alignment horizontal="center" vertical="top" wrapText="1"/>
    </xf>
    <xf numFmtId="49" fontId="9" fillId="0" borderId="6" xfId="0" applyNumberFormat="1" applyFont="1" applyBorder="1" applyAlignment="1">
      <alignment horizontal="right" vertical="top" wrapText="1"/>
    </xf>
    <xf numFmtId="167" fontId="9" fillId="0" borderId="0" xfId="0" applyNumberFormat="1" applyFont="1" applyAlignment="1">
      <alignment horizontal="center" vertical="top" wrapText="1"/>
    </xf>
    <xf numFmtId="168" fontId="9" fillId="0" borderId="0" xfId="0" applyNumberFormat="1" applyFont="1" applyAlignment="1">
      <alignment horizontal="center" vertical="top" wrapText="1"/>
    </xf>
    <xf numFmtId="164" fontId="9" fillId="0" borderId="0" xfId="0" applyNumberFormat="1" applyFont="1" applyAlignment="1">
      <alignment horizontal="center" vertical="top" wrapText="1"/>
    </xf>
    <xf numFmtId="169" fontId="9" fillId="0" borderId="0" xfId="0" applyNumberFormat="1" applyFont="1" applyAlignment="1">
      <alignment horizontal="center" vertical="top" wrapText="1"/>
    </xf>
    <xf numFmtId="49" fontId="10" fillId="0" borderId="6" xfId="0" applyNumberFormat="1" applyFont="1" applyBorder="1"/>
    <xf numFmtId="1" fontId="9" fillId="0" borderId="0" xfId="0" applyNumberFormat="1" applyFont="1" applyAlignment="1">
      <alignment horizontal="center" vertical="top" wrapText="1"/>
    </xf>
    <xf numFmtId="49" fontId="7" fillId="0" borderId="6" xfId="0" applyNumberFormat="1" applyFont="1" applyBorder="1" applyAlignment="1">
      <alignment horizontal="center" vertical="top" wrapText="1"/>
    </xf>
    <xf numFmtId="49" fontId="7" fillId="0" borderId="0" xfId="0" applyNumberFormat="1" applyFont="1" applyAlignment="1">
      <alignment horizontal="left" vertical="top" wrapText="1"/>
    </xf>
    <xf numFmtId="0" fontId="9" fillId="0" borderId="0" xfId="0" applyFont="1" applyAlignment="1">
      <alignment horizontal="right" vertical="top" wrapText="1"/>
    </xf>
    <xf numFmtId="4" fontId="9" fillId="0" borderId="7" xfId="0" applyNumberFormat="1" applyFont="1" applyBorder="1" applyAlignment="1">
      <alignment horizontal="right" vertical="top" wrapText="1"/>
    </xf>
    <xf numFmtId="0" fontId="10" fillId="0" borderId="0" xfId="0" applyFont="1" applyAlignment="1">
      <alignment horizontal="right" vertical="top" wrapText="1"/>
    </xf>
    <xf numFmtId="0" fontId="10" fillId="0" borderId="0" xfId="0" applyFont="1" applyAlignment="1">
      <alignment horizontal="center" vertical="top" wrapText="1"/>
    </xf>
    <xf numFmtId="4" fontId="9" fillId="0" borderId="0" xfId="0" applyNumberFormat="1" applyFont="1" applyAlignment="1">
      <alignment horizontal="right" vertical="top" wrapText="1"/>
    </xf>
    <xf numFmtId="2" fontId="9" fillId="0" borderId="0" xfId="0" applyNumberFormat="1" applyFont="1" applyAlignment="1">
      <alignment horizontal="right" vertical="top" wrapText="1"/>
    </xf>
    <xf numFmtId="2" fontId="10" fillId="0" borderId="0" xfId="0" applyNumberFormat="1" applyFont="1" applyAlignment="1">
      <alignment horizontal="right" vertical="top" wrapText="1"/>
    </xf>
    <xf numFmtId="2" fontId="10" fillId="0" borderId="0" xfId="0" applyNumberFormat="1" applyFont="1" applyAlignment="1">
      <alignment horizontal="center" vertical="top" wrapText="1"/>
    </xf>
    <xf numFmtId="1" fontId="10" fillId="0" borderId="0" xfId="0" applyNumberFormat="1" applyFont="1" applyAlignment="1">
      <alignment horizontal="center" vertical="top" wrapText="1"/>
    </xf>
    <xf numFmtId="4" fontId="10" fillId="0" borderId="0" xfId="0" applyNumberFormat="1" applyFont="1" applyAlignment="1">
      <alignment horizontal="right" vertical="top" wrapText="1"/>
    </xf>
    <xf numFmtId="167" fontId="10" fillId="0" borderId="0" xfId="0" applyNumberFormat="1" applyFont="1" applyAlignment="1">
      <alignment horizontal="center" vertical="top" wrapText="1"/>
    </xf>
    <xf numFmtId="0" fontId="7" fillId="0" borderId="4" xfId="0" applyFont="1" applyBorder="1" applyAlignment="1">
      <alignment horizontal="right" vertical="top" wrapText="1"/>
    </xf>
    <xf numFmtId="4" fontId="7" fillId="0" borderId="4" xfId="0" applyNumberFormat="1" applyFont="1" applyBorder="1" applyAlignment="1">
      <alignment horizontal="right" vertical="top" wrapText="1"/>
    </xf>
    <xf numFmtId="4" fontId="7" fillId="0" borderId="5" xfId="0" applyNumberFormat="1" applyFont="1" applyBorder="1" applyAlignment="1">
      <alignment horizontal="right" vertical="top" wrapText="1"/>
    </xf>
    <xf numFmtId="4" fontId="11" fillId="0" borderId="4" xfId="0" applyNumberFormat="1" applyFont="1" applyBorder="1" applyAlignment="1">
      <alignment horizontal="right" vertical="top" wrapText="1"/>
    </xf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4" fillId="0" borderId="0" xfId="0" applyFont="1"/>
    <xf numFmtId="49" fontId="9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top" wrapText="1"/>
    </xf>
    <xf numFmtId="49" fontId="6" fillId="2" borderId="0" xfId="0" applyNumberFormat="1" applyFont="1" applyFill="1" applyAlignment="1">
      <alignment horizontal="left" vertical="top" wrapText="1"/>
    </xf>
    <xf numFmtId="0" fontId="0" fillId="0" borderId="0" xfId="0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top" wrapText="1"/>
    </xf>
    <xf numFmtId="0" fontId="1" fillId="0" borderId="1" xfId="0" applyFont="1" applyBorder="1"/>
    <xf numFmtId="0" fontId="0" fillId="0" borderId="1" xfId="0" applyBorder="1"/>
    <xf numFmtId="49" fontId="4" fillId="0" borderId="2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left" vertical="top" wrapText="1"/>
    </xf>
    <xf numFmtId="49" fontId="7" fillId="0" borderId="4" xfId="0" applyNumberFormat="1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49" fontId="0" fillId="0" borderId="0" xfId="0" applyNumberFormat="1" applyAlignment="1">
      <alignment horizontal="center"/>
    </xf>
    <xf numFmtId="0" fontId="8" fillId="0" borderId="0" xfId="0" applyFont="1" applyAlignment="1">
      <alignment horizontal="center" wrapText="1"/>
    </xf>
    <xf numFmtId="0" fontId="12" fillId="0" borderId="1" xfId="0" applyFont="1" applyBorder="1"/>
    <xf numFmtId="49" fontId="15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left" vertical="top"/>
    </xf>
    <xf numFmtId="0" fontId="15" fillId="0" borderId="2" xfId="0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left" vertical="top"/>
    </xf>
    <xf numFmtId="49" fontId="17" fillId="0" borderId="2" xfId="0" applyNumberFormat="1" applyFont="1" applyBorder="1" applyAlignment="1">
      <alignment horizontal="center" vertical="top"/>
    </xf>
    <xf numFmtId="4" fontId="17" fillId="0" borderId="2" xfId="0" applyNumberFormat="1" applyFont="1" applyBorder="1" applyAlignment="1">
      <alignment horizontal="right" vertical="top"/>
    </xf>
    <xf numFmtId="0" fontId="17" fillId="0" borderId="2" xfId="0" applyFont="1" applyBorder="1" applyAlignment="1">
      <alignment horizontal="center" vertical="top"/>
    </xf>
    <xf numFmtId="4" fontId="17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6</xdr:col>
      <xdr:colOff>579856</xdr:colOff>
      <xdr:row>49</xdr:row>
      <xdr:rowOff>170976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D224AAB-371A-47DF-9C4A-6E4C84456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53200"/>
          <a:ext cx="9352381" cy="3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49</xdr:row>
      <xdr:rowOff>161925</xdr:rowOff>
    </xdr:from>
    <xdr:to>
      <xdr:col>6</xdr:col>
      <xdr:colOff>589395</xdr:colOff>
      <xdr:row>55</xdr:row>
      <xdr:rowOff>95115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1DB867C-ECA7-4F69-94D5-BE89311B5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10334625"/>
          <a:ext cx="9238095" cy="10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6</xdr:col>
      <xdr:colOff>465570</xdr:colOff>
      <xdr:row>61</xdr:row>
      <xdr:rowOff>104643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0E6E0C4-7187-43EB-90F7-DCD001648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506200"/>
          <a:ext cx="9238095" cy="1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9"/>
  <sheetViews>
    <sheetView zoomScaleNormal="100" workbookViewId="0">
      <selection sqref="A1:D10"/>
    </sheetView>
  </sheetViews>
  <sheetFormatPr defaultRowHeight="15" x14ac:dyDescent="0.25"/>
  <cols>
    <col min="1" max="1" width="15" customWidth="1"/>
    <col min="2" max="2" width="80" customWidth="1"/>
  </cols>
  <sheetData>
    <row r="1" spans="1:16" ht="30" x14ac:dyDescent="0.25">
      <c r="A1" s="1" t="s">
        <v>0</v>
      </c>
      <c r="B1" s="4" t="s">
        <v>1</v>
      </c>
      <c r="C1" s="3"/>
      <c r="D1" s="7" t="s">
        <v>2</v>
      </c>
    </row>
    <row r="2" spans="1:16" x14ac:dyDescent="0.25">
      <c r="A2" s="106" t="s">
        <v>3</v>
      </c>
      <c r="B2" s="107"/>
      <c r="C2" s="107"/>
      <c r="D2" s="107"/>
    </row>
    <row r="3" spans="1:16" x14ac:dyDescent="0.25">
      <c r="A3" s="3">
        <v>1</v>
      </c>
      <c r="B3" s="107" t="s">
        <v>4</v>
      </c>
      <c r="C3" s="107"/>
      <c r="D3" s="107"/>
    </row>
    <row r="4" spans="1:16" x14ac:dyDescent="0.25">
      <c r="A4" s="106" t="s">
        <v>5</v>
      </c>
      <c r="B4" s="107"/>
      <c r="C4" s="107"/>
      <c r="D4" s="107"/>
    </row>
    <row r="5" spans="1:16" x14ac:dyDescent="0.25">
      <c r="A5" s="2" t="s">
        <v>6</v>
      </c>
      <c r="B5" s="2" t="s">
        <v>7</v>
      </c>
      <c r="C5" s="2" t="s">
        <v>8</v>
      </c>
      <c r="D5" s="2" t="s">
        <v>9</v>
      </c>
    </row>
    <row r="6" spans="1:16" x14ac:dyDescent="0.25">
      <c r="A6" s="3" t="s">
        <v>10</v>
      </c>
      <c r="B6" s="5" t="s">
        <v>11</v>
      </c>
      <c r="C6" s="6">
        <v>20</v>
      </c>
      <c r="D6" s="3" t="s">
        <v>12</v>
      </c>
    </row>
    <row r="7" spans="1:16" x14ac:dyDescent="0.25">
      <c r="A7" s="3">
        <v>2</v>
      </c>
      <c r="B7" s="5" t="s">
        <v>13</v>
      </c>
      <c r="C7" s="6" t="s">
        <v>14</v>
      </c>
      <c r="D7" s="3" t="s">
        <v>12</v>
      </c>
    </row>
    <row r="8" spans="1:16" x14ac:dyDescent="0.25">
      <c r="A8" s="3" t="s">
        <v>15</v>
      </c>
      <c r="B8" s="5" t="s">
        <v>16</v>
      </c>
      <c r="C8" s="6" t="s">
        <v>17</v>
      </c>
      <c r="D8" s="3" t="s">
        <v>18</v>
      </c>
    </row>
    <row r="9" spans="1:16" x14ac:dyDescent="0.25">
      <c r="A9" s="3" t="s">
        <v>19</v>
      </c>
      <c r="B9" s="5" t="s">
        <v>20</v>
      </c>
      <c r="C9" s="6" t="s">
        <v>21</v>
      </c>
      <c r="D9" s="3" t="s">
        <v>18</v>
      </c>
    </row>
    <row r="10" spans="1:16" x14ac:dyDescent="0.25">
      <c r="A10" s="3" t="s">
        <v>22</v>
      </c>
      <c r="B10" s="5" t="s">
        <v>23</v>
      </c>
      <c r="C10" s="6">
        <v>1</v>
      </c>
      <c r="D10" s="3" t="s">
        <v>24</v>
      </c>
    </row>
    <row r="12" spans="1:16" x14ac:dyDescent="0.25">
      <c r="A12" s="8" t="s">
        <v>25</v>
      </c>
    </row>
    <row r="15" spans="1:16" x14ac:dyDescent="0.25">
      <c r="A15" s="108" t="s">
        <v>26</v>
      </c>
      <c r="B15" s="101" t="s">
        <v>27</v>
      </c>
      <c r="C15" s="95" t="s">
        <v>28</v>
      </c>
      <c r="D15" s="96"/>
      <c r="E15" s="96"/>
      <c r="F15" s="96"/>
      <c r="G15" s="97"/>
      <c r="H15" s="101" t="s">
        <v>29</v>
      </c>
      <c r="I15" s="101" t="s">
        <v>30</v>
      </c>
      <c r="J15" s="101"/>
      <c r="K15" s="101"/>
      <c r="L15" s="95" t="s">
        <v>48</v>
      </c>
      <c r="M15" s="96"/>
      <c r="N15" s="96"/>
      <c r="O15" s="96"/>
      <c r="P15" s="97"/>
    </row>
    <row r="16" spans="1:16" x14ac:dyDescent="0.25">
      <c r="A16" s="108"/>
      <c r="B16" s="101"/>
      <c r="C16" s="109"/>
      <c r="D16" s="110"/>
      <c r="E16" s="110"/>
      <c r="F16" s="110"/>
      <c r="G16" s="111"/>
      <c r="H16" s="101"/>
      <c r="I16" s="101"/>
      <c r="J16" s="101"/>
      <c r="K16" s="101"/>
      <c r="L16" s="98"/>
      <c r="M16" s="99"/>
      <c r="N16" s="99"/>
      <c r="O16" s="99"/>
      <c r="P16" s="100"/>
    </row>
    <row r="17" spans="1:16" ht="67.5" x14ac:dyDescent="0.25">
      <c r="A17" s="108"/>
      <c r="B17" s="101"/>
      <c r="C17" s="98"/>
      <c r="D17" s="99"/>
      <c r="E17" s="99"/>
      <c r="F17" s="99"/>
      <c r="G17" s="100"/>
      <c r="H17" s="101"/>
      <c r="I17" s="11" t="s">
        <v>31</v>
      </c>
      <c r="J17" s="11" t="s">
        <v>32</v>
      </c>
      <c r="K17" s="11" t="s">
        <v>33</v>
      </c>
      <c r="L17" s="11" t="s">
        <v>49</v>
      </c>
      <c r="M17" s="11" t="s">
        <v>50</v>
      </c>
      <c r="N17" s="11" t="s">
        <v>51</v>
      </c>
      <c r="O17" s="11" t="s">
        <v>32</v>
      </c>
      <c r="P17" s="11" t="s">
        <v>52</v>
      </c>
    </row>
    <row r="18" spans="1:16" x14ac:dyDescent="0.25">
      <c r="A18" s="12">
        <v>1</v>
      </c>
      <c r="B18" s="13">
        <v>2</v>
      </c>
      <c r="C18" s="102">
        <v>3</v>
      </c>
      <c r="D18" s="103"/>
      <c r="E18" s="103"/>
      <c r="F18" s="103"/>
      <c r="G18" s="104"/>
      <c r="H18" s="13">
        <v>4</v>
      </c>
      <c r="I18" s="13">
        <v>5</v>
      </c>
      <c r="J18" s="13">
        <v>6</v>
      </c>
      <c r="K18" s="13">
        <v>7</v>
      </c>
      <c r="L18" s="13">
        <v>8</v>
      </c>
      <c r="M18" s="13">
        <v>9</v>
      </c>
      <c r="N18" s="13">
        <v>10</v>
      </c>
      <c r="O18" s="13">
        <v>11</v>
      </c>
      <c r="P18" s="13">
        <v>12</v>
      </c>
    </row>
    <row r="19" spans="1:16" x14ac:dyDescent="0.25">
      <c r="A19" s="14" t="s">
        <v>34</v>
      </c>
      <c r="B19" s="15" t="s">
        <v>35</v>
      </c>
      <c r="C19" s="105" t="s">
        <v>36</v>
      </c>
      <c r="D19" s="105"/>
      <c r="E19" s="105"/>
      <c r="F19" s="105"/>
      <c r="G19" s="105"/>
      <c r="H19" s="16" t="s">
        <v>24</v>
      </c>
      <c r="I19" s="17">
        <v>1.15032</v>
      </c>
      <c r="J19" s="18">
        <v>1</v>
      </c>
      <c r="K19" s="19">
        <v>1.15032</v>
      </c>
    </row>
    <row r="20" spans="1:16" ht="36" customHeight="1" x14ac:dyDescent="0.25">
      <c r="A20" s="30"/>
      <c r="B20" s="31" t="s">
        <v>46</v>
      </c>
      <c r="C20" s="94" t="s">
        <v>47</v>
      </c>
      <c r="D20" s="94"/>
      <c r="E20" s="94"/>
      <c r="F20" s="94"/>
      <c r="G20" s="94"/>
      <c r="H20" s="94"/>
      <c r="I20" s="94"/>
      <c r="J20" s="94"/>
      <c r="K20" s="94"/>
    </row>
    <row r="21" spans="1:16" x14ac:dyDescent="0.25">
      <c r="A21" s="20"/>
      <c r="B21" s="21" t="s">
        <v>34</v>
      </c>
      <c r="C21" s="92" t="s">
        <v>37</v>
      </c>
      <c r="D21" s="92"/>
      <c r="E21" s="92"/>
      <c r="F21" s="92"/>
      <c r="G21" s="92"/>
      <c r="H21" s="22" t="s">
        <v>12</v>
      </c>
      <c r="I21" s="23"/>
      <c r="J21" s="23"/>
      <c r="K21" s="24">
        <v>26.457360000000001</v>
      </c>
      <c r="L21" s="36"/>
      <c r="M21" s="23"/>
      <c r="N21" s="36"/>
      <c r="O21" s="23"/>
      <c r="P21" s="37">
        <v>13948.32</v>
      </c>
    </row>
    <row r="22" spans="1:16" x14ac:dyDescent="0.25">
      <c r="A22" s="25"/>
      <c r="B22" s="21" t="s">
        <v>10</v>
      </c>
      <c r="C22" s="92" t="s">
        <v>38</v>
      </c>
      <c r="D22" s="92"/>
      <c r="E22" s="92"/>
      <c r="F22" s="92"/>
      <c r="G22" s="92"/>
      <c r="H22" s="22" t="s">
        <v>12</v>
      </c>
      <c r="I22" s="26">
        <v>20</v>
      </c>
      <c r="J22" s="27">
        <v>1.1499999999999999</v>
      </c>
      <c r="K22" s="24">
        <v>26.457360000000001</v>
      </c>
      <c r="L22" s="38"/>
      <c r="M22" s="39"/>
      <c r="N22" s="40">
        <v>527.20000000000005</v>
      </c>
      <c r="O22" s="23"/>
      <c r="P22" s="37">
        <v>13948.32</v>
      </c>
    </row>
    <row r="23" spans="1:16" x14ac:dyDescent="0.25">
      <c r="A23" s="20"/>
      <c r="B23" s="21" t="s">
        <v>39</v>
      </c>
      <c r="C23" s="92" t="s">
        <v>40</v>
      </c>
      <c r="D23" s="92"/>
      <c r="E23" s="92"/>
      <c r="F23" s="92"/>
      <c r="G23" s="92"/>
      <c r="H23" s="22"/>
      <c r="I23" s="23"/>
      <c r="J23" s="23"/>
      <c r="K23" s="23"/>
      <c r="L23" s="36"/>
      <c r="M23" s="23"/>
      <c r="N23" s="36"/>
      <c r="O23" s="23"/>
      <c r="P23" s="41">
        <v>465.77</v>
      </c>
    </row>
    <row r="24" spans="1:16" x14ac:dyDescent="0.25">
      <c r="A24" s="20"/>
      <c r="B24" s="21"/>
      <c r="C24" s="92" t="s">
        <v>41</v>
      </c>
      <c r="D24" s="92"/>
      <c r="E24" s="92"/>
      <c r="F24" s="92"/>
      <c r="G24" s="92"/>
      <c r="H24" s="22" t="s">
        <v>12</v>
      </c>
      <c r="I24" s="23"/>
      <c r="J24" s="23"/>
      <c r="K24" s="28">
        <v>0.4365464</v>
      </c>
      <c r="L24" s="36"/>
      <c r="M24" s="23"/>
      <c r="N24" s="36"/>
      <c r="O24" s="23"/>
      <c r="P24" s="41">
        <v>279.3</v>
      </c>
    </row>
    <row r="25" spans="1:16" x14ac:dyDescent="0.25">
      <c r="A25" s="25"/>
      <c r="B25" s="21" t="s">
        <v>15</v>
      </c>
      <c r="C25" s="92" t="s">
        <v>16</v>
      </c>
      <c r="D25" s="92"/>
      <c r="E25" s="92"/>
      <c r="F25" s="92"/>
      <c r="G25" s="92"/>
      <c r="H25" s="22" t="s">
        <v>18</v>
      </c>
      <c r="I25" s="27">
        <v>0.14000000000000001</v>
      </c>
      <c r="J25" s="27">
        <v>1.1499999999999999</v>
      </c>
      <c r="K25" s="28">
        <v>0.18520149999999999</v>
      </c>
      <c r="L25" s="38"/>
      <c r="M25" s="39"/>
      <c r="N25" s="40">
        <v>1663.18</v>
      </c>
      <c r="O25" s="23"/>
      <c r="P25" s="37">
        <v>308.02</v>
      </c>
    </row>
    <row r="26" spans="1:16" x14ac:dyDescent="0.25">
      <c r="A26" s="29"/>
      <c r="B26" s="32" t="s">
        <v>42</v>
      </c>
      <c r="C26" s="93" t="s">
        <v>43</v>
      </c>
      <c r="D26" s="93"/>
      <c r="E26" s="93"/>
      <c r="F26" s="93"/>
      <c r="G26" s="93"/>
      <c r="H26" s="33" t="s">
        <v>12</v>
      </c>
      <c r="I26" s="34">
        <v>0.14000000000000001</v>
      </c>
      <c r="J26" s="34">
        <v>1.1499999999999999</v>
      </c>
      <c r="K26" s="35">
        <v>0.18520149999999999</v>
      </c>
      <c r="L26" s="36"/>
      <c r="M26" s="23"/>
      <c r="N26" s="42">
        <v>750.17</v>
      </c>
      <c r="O26" s="23"/>
      <c r="P26" s="41">
        <v>138.93</v>
      </c>
    </row>
    <row r="27" spans="1:16" x14ac:dyDescent="0.25">
      <c r="A27" s="25"/>
      <c r="B27" s="21" t="s">
        <v>19</v>
      </c>
      <c r="C27" s="92" t="s">
        <v>20</v>
      </c>
      <c r="D27" s="92"/>
      <c r="E27" s="92"/>
      <c r="F27" s="92"/>
      <c r="G27" s="92"/>
      <c r="H27" s="22" t="s">
        <v>18</v>
      </c>
      <c r="I27" s="27">
        <v>0.19</v>
      </c>
      <c r="J27" s="27">
        <v>1.1499999999999999</v>
      </c>
      <c r="K27" s="28">
        <v>0.25134489999999998</v>
      </c>
      <c r="L27" s="38"/>
      <c r="M27" s="39"/>
      <c r="N27" s="40">
        <v>627.61</v>
      </c>
      <c r="O27" s="23"/>
      <c r="P27" s="37">
        <v>157.75</v>
      </c>
    </row>
    <row r="28" spans="1:16" x14ac:dyDescent="0.25">
      <c r="A28" s="29"/>
      <c r="B28" s="32" t="s">
        <v>44</v>
      </c>
      <c r="C28" s="93" t="s">
        <v>45</v>
      </c>
      <c r="D28" s="93"/>
      <c r="E28" s="93"/>
      <c r="F28" s="93"/>
      <c r="G28" s="93"/>
      <c r="H28" s="33" t="s">
        <v>12</v>
      </c>
      <c r="I28" s="34">
        <v>0.19</v>
      </c>
      <c r="J28" s="34">
        <v>1.1499999999999999</v>
      </c>
      <c r="K28" s="35">
        <v>0.25134489999999998</v>
      </c>
      <c r="L28" s="36"/>
      <c r="M28" s="23"/>
      <c r="N28" s="42">
        <v>558.46</v>
      </c>
      <c r="O28" s="23"/>
      <c r="P28" s="41">
        <v>140.37</v>
      </c>
    </row>
    <row r="29" spans="1:16" x14ac:dyDescent="0.25">
      <c r="L29" s="43"/>
      <c r="M29" s="17"/>
      <c r="N29" s="44"/>
      <c r="O29" s="17"/>
      <c r="P29" s="45">
        <v>14693.39</v>
      </c>
    </row>
  </sheetData>
  <sheetProtection formatCells="0" formatColumns="0" formatRows="0" insertColumns="0" insertRows="0" insertHyperlinks="0" deleteColumns="0" deleteRows="0" sort="0" autoFilter="0" pivotTables="0"/>
  <mergeCells count="20">
    <mergeCell ref="A2:D2"/>
    <mergeCell ref="B3:D3"/>
    <mergeCell ref="A4:D4"/>
    <mergeCell ref="A15:A17"/>
    <mergeCell ref="B15:B17"/>
    <mergeCell ref="C15:G17"/>
    <mergeCell ref="C27:G27"/>
    <mergeCell ref="C28:G28"/>
    <mergeCell ref="C20:K20"/>
    <mergeCell ref="L15:P16"/>
    <mergeCell ref="C22:G22"/>
    <mergeCell ref="C23:G23"/>
    <mergeCell ref="C24:G24"/>
    <mergeCell ref="C25:G25"/>
    <mergeCell ref="C26:G26"/>
    <mergeCell ref="H15:H17"/>
    <mergeCell ref="I15:K16"/>
    <mergeCell ref="C18:G18"/>
    <mergeCell ref="C19:G19"/>
    <mergeCell ref="C21:G21"/>
  </mergeCells>
  <pageMargins left="0.75" right="0.75" top="0.5" bottom="0.5" header="0.3" footer="0.3"/>
  <pageSetup paperSize="9" scale="5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DE77-7BB3-4E66-8FAB-60F74722F389}">
  <dimension ref="A1:D10"/>
  <sheetViews>
    <sheetView workbookViewId="0">
      <selection activeCell="B15" sqref="B15"/>
    </sheetView>
  </sheetViews>
  <sheetFormatPr defaultRowHeight="15" x14ac:dyDescent="0.25"/>
  <cols>
    <col min="1" max="1" width="33.28515625" customWidth="1"/>
    <col min="2" max="2" width="93.5703125" customWidth="1"/>
  </cols>
  <sheetData>
    <row r="1" spans="1:4" ht="15.75" x14ac:dyDescent="0.25">
      <c r="A1" s="1" t="s">
        <v>0</v>
      </c>
      <c r="B1" s="4" t="s">
        <v>1</v>
      </c>
      <c r="C1" s="10"/>
      <c r="D1" s="7" t="s">
        <v>2</v>
      </c>
    </row>
    <row r="2" spans="1:4" x14ac:dyDescent="0.25">
      <c r="A2" s="106" t="s">
        <v>3</v>
      </c>
      <c r="B2" s="107"/>
      <c r="C2" s="107"/>
      <c r="D2" s="107"/>
    </row>
    <row r="3" spans="1:4" x14ac:dyDescent="0.25">
      <c r="A3" s="10">
        <v>1</v>
      </c>
      <c r="B3" s="107" t="s">
        <v>4</v>
      </c>
      <c r="C3" s="107"/>
      <c r="D3" s="107"/>
    </row>
    <row r="4" spans="1:4" x14ac:dyDescent="0.25">
      <c r="A4" s="106" t="s">
        <v>5</v>
      </c>
      <c r="B4" s="107"/>
      <c r="C4" s="107"/>
      <c r="D4" s="107"/>
    </row>
    <row r="5" spans="1:4" x14ac:dyDescent="0.25">
      <c r="A5" s="9" t="s">
        <v>6</v>
      </c>
      <c r="B5" s="9" t="s">
        <v>7</v>
      </c>
      <c r="C5" s="9" t="s">
        <v>8</v>
      </c>
      <c r="D5" s="9" t="s">
        <v>9</v>
      </c>
    </row>
    <row r="6" spans="1:4" x14ac:dyDescent="0.25">
      <c r="A6" s="10" t="s">
        <v>10</v>
      </c>
      <c r="B6" s="5" t="s">
        <v>11</v>
      </c>
      <c r="C6" s="6">
        <v>20</v>
      </c>
      <c r="D6" s="10" t="s">
        <v>12</v>
      </c>
    </row>
    <row r="7" spans="1:4" x14ac:dyDescent="0.25">
      <c r="A7" s="10">
        <v>2</v>
      </c>
      <c r="B7" s="5" t="s">
        <v>13</v>
      </c>
      <c r="C7" s="6" t="s">
        <v>14</v>
      </c>
      <c r="D7" s="10" t="s">
        <v>12</v>
      </c>
    </row>
    <row r="8" spans="1:4" x14ac:dyDescent="0.25">
      <c r="A8" s="10" t="s">
        <v>15</v>
      </c>
      <c r="B8" s="5" t="s">
        <v>16</v>
      </c>
      <c r="C8" s="6" t="s">
        <v>17</v>
      </c>
      <c r="D8" s="10" t="s">
        <v>18</v>
      </c>
    </row>
    <row r="9" spans="1:4" x14ac:dyDescent="0.25">
      <c r="A9" s="10" t="s">
        <v>19</v>
      </c>
      <c r="B9" s="5" t="s">
        <v>20</v>
      </c>
      <c r="C9" s="6" t="s">
        <v>21</v>
      </c>
      <c r="D9" s="10" t="s">
        <v>18</v>
      </c>
    </row>
    <row r="10" spans="1:4" x14ac:dyDescent="0.25">
      <c r="A10" s="10" t="s">
        <v>22</v>
      </c>
      <c r="B10" s="5" t="s">
        <v>23</v>
      </c>
      <c r="C10" s="6">
        <v>1</v>
      </c>
      <c r="D10" s="10" t="s">
        <v>24</v>
      </c>
    </row>
  </sheetData>
  <mergeCells count="3">
    <mergeCell ref="A2:D2"/>
    <mergeCell ref="B3:D3"/>
    <mergeCell ref="A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19D4-5CC1-4E28-BA86-B3737A9740FC}">
  <dimension ref="A1:AF41"/>
  <sheetViews>
    <sheetView tabSelected="1" zoomScale="85" zoomScaleNormal="85" workbookViewId="0">
      <pane xSplit="8" ySplit="4" topLeftCell="I23" activePane="bottomRight" state="frozen"/>
      <selection pane="topRight" activeCell="I1" sqref="I1"/>
      <selection pane="bottomLeft" activeCell="A5" sqref="A5"/>
      <selection pane="bottomRight" activeCell="W33" sqref="W33"/>
    </sheetView>
  </sheetViews>
  <sheetFormatPr defaultRowHeight="15" x14ac:dyDescent="0.25"/>
  <cols>
    <col min="11" max="11" width="10.85546875" bestFit="1" customWidth="1"/>
    <col min="14" max="14" width="10.28515625" bestFit="1" customWidth="1"/>
    <col min="16" max="16" width="11" bestFit="1" customWidth="1"/>
    <col min="18" max="18" width="31.140625" customWidth="1"/>
    <col min="24" max="24" width="33.28515625" bestFit="1" customWidth="1"/>
    <col min="25" max="25" width="26.140625" bestFit="1" customWidth="1"/>
    <col min="26" max="26" width="74.5703125" bestFit="1" customWidth="1"/>
    <col min="27" max="27" width="16" bestFit="1" customWidth="1"/>
    <col min="30" max="30" width="59.5703125" customWidth="1"/>
  </cols>
  <sheetData>
    <row r="1" spans="1:32" x14ac:dyDescent="0.25">
      <c r="A1" s="108" t="s">
        <v>26</v>
      </c>
      <c r="B1" s="101" t="s">
        <v>27</v>
      </c>
      <c r="C1" s="95" t="s">
        <v>28</v>
      </c>
      <c r="D1" s="96"/>
      <c r="E1" s="96"/>
      <c r="F1" s="96"/>
      <c r="G1" s="97"/>
      <c r="H1" s="101" t="s">
        <v>29</v>
      </c>
      <c r="I1" s="101" t="s">
        <v>30</v>
      </c>
      <c r="J1" s="101"/>
      <c r="K1" s="101"/>
      <c r="L1" s="95" t="s">
        <v>48</v>
      </c>
      <c r="M1" s="96"/>
      <c r="N1" s="96"/>
      <c r="O1" s="96"/>
      <c r="P1" s="97"/>
      <c r="Q1" s="108" t="s">
        <v>26</v>
      </c>
      <c r="R1" s="101" t="s">
        <v>27</v>
      </c>
      <c r="S1" s="95" t="s">
        <v>28</v>
      </c>
      <c r="T1" s="96"/>
      <c r="U1" s="96"/>
      <c r="V1" s="96"/>
      <c r="W1" s="97"/>
      <c r="X1" s="101" t="s">
        <v>29</v>
      </c>
      <c r="Y1" s="101" t="s">
        <v>30</v>
      </c>
      <c r="Z1" s="101"/>
      <c r="AA1" s="101"/>
      <c r="AB1" s="95" t="s">
        <v>48</v>
      </c>
      <c r="AC1" s="96"/>
      <c r="AD1" s="96"/>
      <c r="AE1" s="96"/>
      <c r="AF1" s="97"/>
    </row>
    <row r="2" spans="1:32" x14ac:dyDescent="0.25">
      <c r="A2" s="108"/>
      <c r="B2" s="101"/>
      <c r="C2" s="109"/>
      <c r="D2" s="110"/>
      <c r="E2" s="110"/>
      <c r="F2" s="110"/>
      <c r="G2" s="111"/>
      <c r="H2" s="101"/>
      <c r="I2" s="101"/>
      <c r="J2" s="101"/>
      <c r="K2" s="101"/>
      <c r="L2" s="98"/>
      <c r="M2" s="99"/>
      <c r="N2" s="99"/>
      <c r="O2" s="99"/>
      <c r="P2" s="100"/>
      <c r="Q2" s="108"/>
      <c r="R2" s="101"/>
      <c r="S2" s="109"/>
      <c r="T2" s="110"/>
      <c r="U2" s="110"/>
      <c r="V2" s="110"/>
      <c r="W2" s="111"/>
      <c r="X2" s="101"/>
      <c r="Y2" s="101"/>
      <c r="Z2" s="101"/>
      <c r="AA2" s="101"/>
      <c r="AB2" s="98"/>
      <c r="AC2" s="99"/>
      <c r="AD2" s="99"/>
      <c r="AE2" s="99"/>
      <c r="AF2" s="100"/>
    </row>
    <row r="3" spans="1:32" ht="67.5" x14ac:dyDescent="0.25">
      <c r="A3" s="108"/>
      <c r="B3" s="101"/>
      <c r="C3" s="98"/>
      <c r="D3" s="99"/>
      <c r="E3" s="99"/>
      <c r="F3" s="99"/>
      <c r="G3" s="100"/>
      <c r="H3" s="101"/>
      <c r="I3" s="11" t="s">
        <v>31</v>
      </c>
      <c r="J3" s="11" t="s">
        <v>32</v>
      </c>
      <c r="K3" s="11" t="s">
        <v>33</v>
      </c>
      <c r="L3" s="11" t="s">
        <v>49</v>
      </c>
      <c r="M3" s="11" t="s">
        <v>50</v>
      </c>
      <c r="N3" s="11" t="s">
        <v>51</v>
      </c>
      <c r="O3" s="11" t="s">
        <v>32</v>
      </c>
      <c r="P3" s="11" t="s">
        <v>52</v>
      </c>
      <c r="Q3" s="108"/>
      <c r="R3" s="101"/>
      <c r="S3" s="98"/>
      <c r="T3" s="99"/>
      <c r="U3" s="99"/>
      <c r="V3" s="99"/>
      <c r="W3" s="100"/>
      <c r="X3" s="101"/>
      <c r="Y3" s="11" t="s">
        <v>31</v>
      </c>
      <c r="Z3" s="11" t="s">
        <v>32</v>
      </c>
      <c r="AA3" s="11" t="s">
        <v>33</v>
      </c>
      <c r="AB3" s="11" t="s">
        <v>49</v>
      </c>
      <c r="AC3" s="11" t="s">
        <v>50</v>
      </c>
      <c r="AD3" s="11" t="s">
        <v>51</v>
      </c>
      <c r="AE3" s="11" t="s">
        <v>32</v>
      </c>
      <c r="AF3" s="11" t="s">
        <v>52</v>
      </c>
    </row>
    <row r="4" spans="1:32" x14ac:dyDescent="0.25">
      <c r="A4" s="12">
        <v>1</v>
      </c>
      <c r="B4" s="13">
        <v>2</v>
      </c>
      <c r="C4" s="102">
        <v>3</v>
      </c>
      <c r="D4" s="103"/>
      <c r="E4" s="103"/>
      <c r="F4" s="103"/>
      <c r="G4" s="104"/>
      <c r="H4" s="13">
        <v>4</v>
      </c>
      <c r="I4" s="13">
        <v>5</v>
      </c>
      <c r="J4" s="13">
        <v>6</v>
      </c>
      <c r="K4" s="13">
        <v>7</v>
      </c>
      <c r="L4" s="13">
        <v>8</v>
      </c>
      <c r="M4" s="13">
        <v>9</v>
      </c>
      <c r="N4" s="13">
        <v>10</v>
      </c>
      <c r="O4" s="13">
        <v>11</v>
      </c>
      <c r="P4" s="13">
        <v>12</v>
      </c>
      <c r="Q4" s="12">
        <v>1</v>
      </c>
      <c r="R4" s="13">
        <v>2</v>
      </c>
      <c r="S4" s="102">
        <v>3</v>
      </c>
      <c r="T4" s="103"/>
      <c r="U4" s="103"/>
      <c r="V4" s="103"/>
      <c r="W4" s="104"/>
      <c r="X4" s="13">
        <v>4</v>
      </c>
      <c r="Y4" s="13">
        <v>5</v>
      </c>
      <c r="Z4" s="13">
        <v>6</v>
      </c>
      <c r="AA4" s="13">
        <v>7</v>
      </c>
      <c r="AB4" s="13">
        <v>8</v>
      </c>
      <c r="AC4" s="13">
        <v>9</v>
      </c>
      <c r="AD4" s="13">
        <v>10</v>
      </c>
      <c r="AE4" s="13">
        <v>11</v>
      </c>
      <c r="AF4" s="13">
        <v>12</v>
      </c>
    </row>
    <row r="5" spans="1:32" ht="90" x14ac:dyDescent="0.25">
      <c r="A5" s="48" t="s">
        <v>68</v>
      </c>
      <c r="B5" s="49" t="s">
        <v>69</v>
      </c>
      <c r="C5" s="114" t="s">
        <v>70</v>
      </c>
      <c r="D5" s="114"/>
      <c r="E5" s="114"/>
      <c r="F5" s="114"/>
      <c r="G5" s="114"/>
      <c r="H5" s="50" t="s">
        <v>24</v>
      </c>
      <c r="I5" s="51">
        <v>26.958848</v>
      </c>
      <c r="J5" s="52">
        <v>1</v>
      </c>
      <c r="K5" s="53">
        <v>26.958848</v>
      </c>
      <c r="R5" s="46" t="s">
        <v>58</v>
      </c>
      <c r="S5" s="114" t="s">
        <v>59</v>
      </c>
      <c r="T5" s="105"/>
      <c r="U5" s="105"/>
      <c r="V5" s="105"/>
      <c r="W5" s="105"/>
      <c r="X5" s="47" t="s">
        <v>65</v>
      </c>
      <c r="Y5" s="47" t="s">
        <v>67</v>
      </c>
      <c r="Z5" s="47" t="s">
        <v>66</v>
      </c>
      <c r="AA5" s="47" t="s">
        <v>118</v>
      </c>
    </row>
    <row r="6" spans="1:32" ht="56.25" x14ac:dyDescent="0.25">
      <c r="A6" s="30"/>
      <c r="B6" s="54" t="s">
        <v>46</v>
      </c>
      <c r="C6" s="116" t="s">
        <v>47</v>
      </c>
      <c r="D6" s="94"/>
      <c r="E6" s="94"/>
      <c r="F6" s="94"/>
      <c r="G6" s="94"/>
      <c r="H6" s="94"/>
      <c r="I6" s="94"/>
      <c r="J6" s="94"/>
      <c r="K6" s="94"/>
      <c r="R6" s="47" t="s">
        <v>60</v>
      </c>
      <c r="Z6" t="str">
        <f>R6</f>
        <v>как автоматом выбирать автоматом повышающие коэф пока не определился</v>
      </c>
      <c r="AE6" s="47" t="s">
        <v>124</v>
      </c>
    </row>
    <row r="7" spans="1:32" x14ac:dyDescent="0.25">
      <c r="A7" s="55"/>
      <c r="B7" s="56" t="s">
        <v>34</v>
      </c>
      <c r="C7" s="112" t="s">
        <v>37</v>
      </c>
      <c r="D7" s="112"/>
      <c r="E7" s="112"/>
      <c r="F7" s="112"/>
      <c r="G7" s="112"/>
      <c r="H7" s="57" t="s">
        <v>12</v>
      </c>
      <c r="I7" s="58"/>
      <c r="J7" s="58"/>
      <c r="K7" s="59">
        <v>7137.1258577999997</v>
      </c>
      <c r="L7" s="71"/>
      <c r="M7" s="58"/>
      <c r="N7" s="71"/>
      <c r="O7" s="58"/>
      <c r="P7" s="72">
        <v>3941192.27</v>
      </c>
    </row>
    <row r="8" spans="1:32" ht="45" x14ac:dyDescent="0.25">
      <c r="A8" s="60"/>
      <c r="B8" s="56" t="s">
        <v>71</v>
      </c>
      <c r="C8" s="112" t="s">
        <v>72</v>
      </c>
      <c r="D8" s="112"/>
      <c r="E8" s="112"/>
      <c r="F8" s="112"/>
      <c r="G8" s="112"/>
      <c r="H8" s="57" t="s">
        <v>12</v>
      </c>
      <c r="I8" s="61">
        <v>230.21</v>
      </c>
      <c r="J8" s="61">
        <v>1.1499999999999999</v>
      </c>
      <c r="K8" s="59">
        <v>7137.1258577999997</v>
      </c>
      <c r="L8" s="73"/>
      <c r="M8" s="74"/>
      <c r="N8" s="75">
        <v>552.21</v>
      </c>
      <c r="O8" s="58"/>
      <c r="P8" s="72">
        <v>3941192.27</v>
      </c>
      <c r="R8" s="47" t="s">
        <v>61</v>
      </c>
      <c r="S8" s="112" t="s">
        <v>62</v>
      </c>
      <c r="T8" s="92"/>
      <c r="U8" s="92"/>
      <c r="V8" s="92"/>
      <c r="W8" s="92"/>
      <c r="X8" s="47" t="s">
        <v>63</v>
      </c>
      <c r="Y8" s="47" t="s">
        <v>64</v>
      </c>
      <c r="Z8" t="str">
        <f>Z6</f>
        <v>как автоматом выбирать автоматом повышающие коэф пока не определился</v>
      </c>
      <c r="AA8" s="47" t="s">
        <v>118</v>
      </c>
      <c r="AD8" s="46" t="s">
        <v>122</v>
      </c>
      <c r="AF8" s="47" t="s">
        <v>123</v>
      </c>
    </row>
    <row r="9" spans="1:32" x14ac:dyDescent="0.25">
      <c r="A9" s="55"/>
      <c r="B9" s="56" t="s">
        <v>39</v>
      </c>
      <c r="C9" s="112" t="s">
        <v>40</v>
      </c>
      <c r="D9" s="112"/>
      <c r="E9" s="112"/>
      <c r="F9" s="112"/>
      <c r="G9" s="112"/>
      <c r="H9" s="57"/>
      <c r="I9" s="58"/>
      <c r="J9" s="58"/>
      <c r="K9" s="58"/>
      <c r="L9" s="71"/>
      <c r="M9" s="58"/>
      <c r="N9" s="71"/>
      <c r="O9" s="58"/>
      <c r="P9" s="72">
        <v>127906.66</v>
      </c>
    </row>
    <row r="10" spans="1:32" x14ac:dyDescent="0.25">
      <c r="A10" s="55"/>
      <c r="B10" s="56"/>
      <c r="C10" s="112" t="s">
        <v>41</v>
      </c>
      <c r="D10" s="112"/>
      <c r="E10" s="112"/>
      <c r="F10" s="112"/>
      <c r="G10" s="112"/>
      <c r="H10" s="57" t="s">
        <v>12</v>
      </c>
      <c r="I10" s="58"/>
      <c r="J10" s="58"/>
      <c r="K10" s="59">
        <v>26.662300699999999</v>
      </c>
      <c r="L10" s="71"/>
      <c r="M10" s="58"/>
      <c r="N10" s="71"/>
      <c r="O10" s="58"/>
      <c r="P10" s="72">
        <v>19228.599999999999</v>
      </c>
    </row>
    <row r="11" spans="1:32" ht="45" x14ac:dyDescent="0.25">
      <c r="A11" s="60"/>
      <c r="B11" s="56" t="s">
        <v>15</v>
      </c>
      <c r="C11" s="112" t="s">
        <v>16</v>
      </c>
      <c r="D11" s="112"/>
      <c r="E11" s="112"/>
      <c r="F11" s="112"/>
      <c r="G11" s="112"/>
      <c r="H11" s="57" t="s">
        <v>18</v>
      </c>
      <c r="I11" s="61">
        <v>0.73</v>
      </c>
      <c r="J11" s="61">
        <v>1.1499999999999999</v>
      </c>
      <c r="K11" s="59">
        <v>22.631952900000002</v>
      </c>
      <c r="L11" s="73"/>
      <c r="M11" s="74"/>
      <c r="N11" s="75">
        <v>1663.18</v>
      </c>
      <c r="O11" s="58"/>
      <c r="P11" s="72">
        <v>37641.01</v>
      </c>
      <c r="R11" s="47" t="s">
        <v>61</v>
      </c>
      <c r="S11" s="115" t="s">
        <v>62</v>
      </c>
      <c r="T11" s="115"/>
      <c r="U11" s="115"/>
      <c r="V11" s="115"/>
      <c r="W11" s="115"/>
      <c r="X11" t="s">
        <v>63</v>
      </c>
      <c r="Y11" s="47" t="s">
        <v>64</v>
      </c>
      <c r="Z11" t="s">
        <v>60</v>
      </c>
      <c r="AA11" s="47" t="s">
        <v>118</v>
      </c>
      <c r="AD11" s="46" t="s">
        <v>122</v>
      </c>
      <c r="AF11" s="47" t="s">
        <v>123</v>
      </c>
    </row>
    <row r="12" spans="1:32" ht="195" x14ac:dyDescent="0.25">
      <c r="A12" s="62"/>
      <c r="B12" s="56" t="s">
        <v>42</v>
      </c>
      <c r="C12" s="112" t="s">
        <v>43</v>
      </c>
      <c r="D12" s="112"/>
      <c r="E12" s="112"/>
      <c r="F12" s="112"/>
      <c r="G12" s="112"/>
      <c r="H12" s="57" t="s">
        <v>12</v>
      </c>
      <c r="I12" s="61">
        <v>0.73</v>
      </c>
      <c r="J12" s="61">
        <v>1.1499999999999999</v>
      </c>
      <c r="K12" s="59">
        <v>22.631952900000002</v>
      </c>
      <c r="L12" s="71"/>
      <c r="M12" s="58"/>
      <c r="N12" s="76">
        <v>750.17</v>
      </c>
      <c r="O12" s="58"/>
      <c r="P12" s="72">
        <v>16977.810000000001</v>
      </c>
      <c r="R12" s="46" t="s">
        <v>125</v>
      </c>
      <c r="S12" s="116" t="s">
        <v>127</v>
      </c>
      <c r="T12" s="116"/>
      <c r="U12" s="116"/>
      <c r="V12" s="116"/>
      <c r="W12" s="116"/>
      <c r="X12" s="46" t="s">
        <v>126</v>
      </c>
      <c r="Y12" s="46" t="s">
        <v>128</v>
      </c>
      <c r="Z12" t="s">
        <v>60</v>
      </c>
      <c r="AA12" s="47" t="s">
        <v>118</v>
      </c>
      <c r="AD12" s="46" t="s">
        <v>129</v>
      </c>
      <c r="AF12" s="47" t="s">
        <v>123</v>
      </c>
    </row>
    <row r="13" spans="1:32" ht="150" x14ac:dyDescent="0.25">
      <c r="A13" s="60"/>
      <c r="B13" s="56" t="s">
        <v>73</v>
      </c>
      <c r="C13" s="112" t="s">
        <v>74</v>
      </c>
      <c r="D13" s="112"/>
      <c r="E13" s="112"/>
      <c r="F13" s="112"/>
      <c r="G13" s="112"/>
      <c r="H13" s="57" t="s">
        <v>18</v>
      </c>
      <c r="I13" s="63">
        <v>2.9</v>
      </c>
      <c r="J13" s="61">
        <v>1.1499999999999999</v>
      </c>
      <c r="K13" s="59">
        <v>89.907758099999995</v>
      </c>
      <c r="L13" s="77">
        <v>13.44</v>
      </c>
      <c r="M13" s="78">
        <v>1.42</v>
      </c>
      <c r="N13" s="75">
        <v>19.079999999999998</v>
      </c>
      <c r="O13" s="58"/>
      <c r="P13" s="72">
        <v>1715.44</v>
      </c>
      <c r="R13" s="47" t="s">
        <v>61</v>
      </c>
      <c r="S13" s="115" t="s">
        <v>62</v>
      </c>
      <c r="T13" s="115"/>
      <c r="U13" s="115"/>
      <c r="V13" s="115"/>
      <c r="W13" s="115"/>
      <c r="X13" t="s">
        <v>63</v>
      </c>
      <c r="Y13" s="47" t="s">
        <v>64</v>
      </c>
      <c r="Z13" t="str">
        <f>Z12</f>
        <v>как автоматом выбирать автоматом повышающие коэф пока не определился</v>
      </c>
      <c r="AA13" s="47" t="s">
        <v>118</v>
      </c>
      <c r="AB13" s="46" t="s">
        <v>162</v>
      </c>
      <c r="AC13" s="46" t="s">
        <v>163</v>
      </c>
      <c r="AD13" s="46" t="s">
        <v>164</v>
      </c>
      <c r="AF13" s="47" t="s">
        <v>123</v>
      </c>
    </row>
    <row r="14" spans="1:32" ht="150" x14ac:dyDescent="0.25">
      <c r="A14" s="60"/>
      <c r="B14" s="56" t="s">
        <v>75</v>
      </c>
      <c r="C14" s="112" t="s">
        <v>76</v>
      </c>
      <c r="D14" s="112"/>
      <c r="E14" s="112"/>
      <c r="F14" s="112"/>
      <c r="G14" s="112"/>
      <c r="H14" s="57" t="s">
        <v>18</v>
      </c>
      <c r="I14" s="61">
        <v>5.29</v>
      </c>
      <c r="J14" s="61">
        <v>1.1499999999999999</v>
      </c>
      <c r="K14" s="59">
        <v>164.00415179999999</v>
      </c>
      <c r="L14" s="77">
        <v>23.43</v>
      </c>
      <c r="M14" s="78">
        <v>1.42</v>
      </c>
      <c r="N14" s="75">
        <v>33.270000000000003</v>
      </c>
      <c r="O14" s="58"/>
      <c r="P14" s="72">
        <v>5456.42</v>
      </c>
      <c r="R14" s="47" t="s">
        <v>61</v>
      </c>
      <c r="S14" s="115" t="s">
        <v>62</v>
      </c>
      <c r="T14" s="115"/>
      <c r="U14" s="115"/>
      <c r="V14" s="115"/>
      <c r="W14" s="115"/>
      <c r="X14" t="s">
        <v>63</v>
      </c>
      <c r="Y14" s="47" t="s">
        <v>64</v>
      </c>
      <c r="Z14" t="str">
        <f>Z13</f>
        <v>как автоматом выбирать автоматом повышающие коэф пока не определился</v>
      </c>
      <c r="AA14" s="47" t="s">
        <v>118</v>
      </c>
      <c r="AB14" s="46" t="s">
        <v>162</v>
      </c>
      <c r="AC14" s="46" t="s">
        <v>163</v>
      </c>
      <c r="AD14" s="46" t="s">
        <v>166</v>
      </c>
      <c r="AF14" s="47" t="s">
        <v>123</v>
      </c>
    </row>
    <row r="15" spans="1:32" ht="180" x14ac:dyDescent="0.25">
      <c r="A15" s="60"/>
      <c r="B15" s="56"/>
      <c r="C15" s="91"/>
      <c r="D15" s="91"/>
      <c r="E15" s="91"/>
      <c r="F15" s="91"/>
      <c r="G15" s="91"/>
      <c r="H15" s="57"/>
      <c r="I15" s="61"/>
      <c r="J15" s="61"/>
      <c r="K15" s="59"/>
      <c r="L15" s="77"/>
      <c r="M15" s="78"/>
      <c r="N15" s="75"/>
      <c r="O15" s="58"/>
      <c r="P15" s="72"/>
      <c r="R15" s="46" t="s">
        <v>165</v>
      </c>
    </row>
    <row r="16" spans="1:32" ht="45" x14ac:dyDescent="0.25">
      <c r="A16" s="60"/>
      <c r="B16" s="56" t="s">
        <v>19</v>
      </c>
      <c r="C16" s="112" t="s">
        <v>20</v>
      </c>
      <c r="D16" s="112"/>
      <c r="E16" s="112"/>
      <c r="F16" s="112"/>
      <c r="G16" s="112"/>
      <c r="H16" s="57" t="s">
        <v>18</v>
      </c>
      <c r="I16" s="61">
        <v>0.13</v>
      </c>
      <c r="J16" s="61">
        <v>1.1499999999999999</v>
      </c>
      <c r="K16" s="59">
        <v>4.0303478000000004</v>
      </c>
      <c r="L16" s="73"/>
      <c r="M16" s="74"/>
      <c r="N16" s="75">
        <v>627.61</v>
      </c>
      <c r="O16" s="58"/>
      <c r="P16" s="72">
        <v>2529.4899999999998</v>
      </c>
      <c r="R16" s="47" t="s">
        <v>61</v>
      </c>
      <c r="S16" s="115" t="s">
        <v>62</v>
      </c>
      <c r="T16" s="115"/>
      <c r="U16" s="115"/>
      <c r="V16" s="115"/>
      <c r="W16" s="115"/>
      <c r="X16" t="s">
        <v>63</v>
      </c>
      <c r="Y16" s="47" t="s">
        <v>64</v>
      </c>
      <c r="Z16" t="s">
        <v>60</v>
      </c>
      <c r="AA16" s="47" t="s">
        <v>118</v>
      </c>
      <c r="AD16" s="46" t="s">
        <v>166</v>
      </c>
      <c r="AF16" s="47" t="s">
        <v>123</v>
      </c>
    </row>
    <row r="17" spans="1:32" ht="195" x14ac:dyDescent="0.25">
      <c r="A17" s="62"/>
      <c r="B17" s="56" t="s">
        <v>44</v>
      </c>
      <c r="C17" s="112" t="s">
        <v>45</v>
      </c>
      <c r="D17" s="112"/>
      <c r="E17" s="112"/>
      <c r="F17" s="112"/>
      <c r="G17" s="112"/>
      <c r="H17" s="57" t="s">
        <v>12</v>
      </c>
      <c r="I17" s="61">
        <v>0.13</v>
      </c>
      <c r="J17" s="61">
        <v>1.1499999999999999</v>
      </c>
      <c r="K17" s="59">
        <v>4.0303478000000004</v>
      </c>
      <c r="L17" s="71"/>
      <c r="M17" s="58"/>
      <c r="N17" s="76">
        <v>558.46</v>
      </c>
      <c r="O17" s="58"/>
      <c r="P17" s="72">
        <v>2250.79</v>
      </c>
      <c r="R17" s="46" t="s">
        <v>125</v>
      </c>
      <c r="S17" s="116" t="s">
        <v>127</v>
      </c>
      <c r="T17" s="116"/>
      <c r="U17" s="116"/>
      <c r="V17" s="116"/>
      <c r="W17" s="116"/>
      <c r="X17" s="46" t="s">
        <v>126</v>
      </c>
      <c r="Y17" s="46" t="s">
        <v>128</v>
      </c>
      <c r="Z17" t="s">
        <v>60</v>
      </c>
      <c r="AA17" s="47" t="s">
        <v>118</v>
      </c>
      <c r="AD17" s="46" t="s">
        <v>167</v>
      </c>
      <c r="AF17" s="47" t="s">
        <v>123</v>
      </c>
    </row>
    <row r="18" spans="1:32" ht="150" x14ac:dyDescent="0.25">
      <c r="A18" s="60"/>
      <c r="B18" s="56" t="s">
        <v>77</v>
      </c>
      <c r="C18" s="112" t="s">
        <v>78</v>
      </c>
      <c r="D18" s="112"/>
      <c r="E18" s="112"/>
      <c r="F18" s="112"/>
      <c r="G18" s="112"/>
      <c r="H18" s="57" t="s">
        <v>18</v>
      </c>
      <c r="I18" s="61">
        <v>1.04</v>
      </c>
      <c r="J18" s="61">
        <v>1.1499999999999999</v>
      </c>
      <c r="K18" s="59">
        <v>32.242782200000001</v>
      </c>
      <c r="L18" s="77">
        <v>4.3499999999999996</v>
      </c>
      <c r="M18" s="78">
        <v>1.23</v>
      </c>
      <c r="N18" s="75">
        <v>5.35</v>
      </c>
      <c r="O18" s="58"/>
      <c r="P18" s="72">
        <v>172.5</v>
      </c>
      <c r="R18" s="47" t="s">
        <v>61</v>
      </c>
      <c r="S18" s="115" t="s">
        <v>62</v>
      </c>
      <c r="T18" s="115"/>
      <c r="U18" s="115"/>
      <c r="V18" s="115"/>
      <c r="W18" s="115"/>
      <c r="X18" t="s">
        <v>63</v>
      </c>
      <c r="Y18" s="47" t="s">
        <v>64</v>
      </c>
      <c r="Z18" t="s">
        <v>60</v>
      </c>
      <c r="AA18" s="47" t="s">
        <v>118</v>
      </c>
      <c r="AB18" s="46" t="s">
        <v>162</v>
      </c>
      <c r="AC18" s="46" t="s">
        <v>163</v>
      </c>
      <c r="AD18" s="46" t="s">
        <v>166</v>
      </c>
      <c r="AF18" s="47" t="s">
        <v>123</v>
      </c>
    </row>
    <row r="19" spans="1:32" ht="255" x14ac:dyDescent="0.25">
      <c r="A19" s="60"/>
      <c r="B19" s="56" t="s">
        <v>79</v>
      </c>
      <c r="C19" s="112" t="s">
        <v>80</v>
      </c>
      <c r="D19" s="112"/>
      <c r="E19" s="112"/>
      <c r="F19" s="112"/>
      <c r="G19" s="112"/>
      <c r="H19" s="57" t="s">
        <v>18</v>
      </c>
      <c r="I19" s="63">
        <v>31.7</v>
      </c>
      <c r="J19" s="61">
        <v>1.1499999999999999</v>
      </c>
      <c r="K19" s="59">
        <v>982.78480379999996</v>
      </c>
      <c r="L19" s="73"/>
      <c r="M19" s="74"/>
      <c r="N19" s="75">
        <v>81.8</v>
      </c>
      <c r="O19" s="58"/>
      <c r="P19" s="72">
        <v>80391.8</v>
      </c>
      <c r="R19" s="47" t="s">
        <v>61</v>
      </c>
      <c r="S19" s="115" t="s">
        <v>62</v>
      </c>
      <c r="T19" s="115"/>
      <c r="U19" s="115"/>
      <c r="V19" s="115"/>
      <c r="W19" s="115"/>
      <c r="X19" t="s">
        <v>63</v>
      </c>
      <c r="Y19" s="47" t="s">
        <v>64</v>
      </c>
      <c r="Z19" t="s">
        <v>60</v>
      </c>
      <c r="AA19" s="47" t="s">
        <v>118</v>
      </c>
      <c r="AB19" s="46" t="s">
        <v>192</v>
      </c>
      <c r="AC19" s="46" t="s">
        <v>192</v>
      </c>
      <c r="AD19" s="46" t="s">
        <v>166</v>
      </c>
      <c r="AF19" s="47" t="s">
        <v>123</v>
      </c>
    </row>
    <row r="20" spans="1:32" x14ac:dyDescent="0.25">
      <c r="A20" s="55"/>
      <c r="B20" s="56" t="s">
        <v>68</v>
      </c>
      <c r="C20" s="112" t="s">
        <v>81</v>
      </c>
      <c r="D20" s="112"/>
      <c r="E20" s="112"/>
      <c r="F20" s="112"/>
      <c r="G20" s="112"/>
      <c r="H20" s="57"/>
      <c r="I20" s="58"/>
      <c r="J20" s="58"/>
      <c r="K20" s="58"/>
      <c r="L20" s="71"/>
      <c r="M20" s="58"/>
      <c r="N20" s="71"/>
      <c r="O20" s="58"/>
      <c r="P20" s="72">
        <v>245466.07</v>
      </c>
    </row>
    <row r="21" spans="1:32" ht="255" x14ac:dyDescent="0.25">
      <c r="A21" s="60"/>
      <c r="B21" s="56" t="s">
        <v>82</v>
      </c>
      <c r="C21" s="112" t="s">
        <v>83</v>
      </c>
      <c r="D21" s="112"/>
      <c r="E21" s="112"/>
      <c r="F21" s="112"/>
      <c r="G21" s="112"/>
      <c r="H21" s="57" t="s">
        <v>84</v>
      </c>
      <c r="I21" s="63">
        <v>0.8</v>
      </c>
      <c r="J21" s="58"/>
      <c r="K21" s="59">
        <v>21.5670784</v>
      </c>
      <c r="L21" s="73"/>
      <c r="M21" s="74"/>
      <c r="N21" s="75">
        <v>155.72999999999999</v>
      </c>
      <c r="O21" s="58"/>
      <c r="P21" s="72">
        <v>3358.64</v>
      </c>
      <c r="R21" s="47" t="s">
        <v>61</v>
      </c>
      <c r="S21" s="115" t="s">
        <v>62</v>
      </c>
      <c r="T21" s="115"/>
      <c r="U21" s="115"/>
      <c r="V21" s="115"/>
      <c r="W21" s="115"/>
      <c r="X21" t="s">
        <v>63</v>
      </c>
      <c r="Y21" s="47" t="s">
        <v>64</v>
      </c>
      <c r="Z21" t="s">
        <v>60</v>
      </c>
      <c r="AA21" s="47" t="s">
        <v>118</v>
      </c>
      <c r="AB21" s="46" t="s">
        <v>192</v>
      </c>
      <c r="AC21" s="46" t="s">
        <v>192</v>
      </c>
      <c r="AD21" s="46" t="s">
        <v>166</v>
      </c>
      <c r="AF21" s="47" t="s">
        <v>123</v>
      </c>
    </row>
    <row r="22" spans="1:32" ht="255" x14ac:dyDescent="0.25">
      <c r="A22" s="60"/>
      <c r="B22" s="56" t="s">
        <v>85</v>
      </c>
      <c r="C22" s="112" t="s">
        <v>86</v>
      </c>
      <c r="D22" s="112"/>
      <c r="E22" s="112"/>
      <c r="F22" s="112"/>
      <c r="G22" s="112"/>
      <c r="H22" s="57" t="s">
        <v>87</v>
      </c>
      <c r="I22" s="61">
        <v>0.24</v>
      </c>
      <c r="J22" s="58"/>
      <c r="K22" s="59">
        <v>6.4701234999999997</v>
      </c>
      <c r="L22" s="77">
        <v>41.38</v>
      </c>
      <c r="M22" s="78">
        <v>1.71</v>
      </c>
      <c r="N22" s="75">
        <v>70.760000000000005</v>
      </c>
      <c r="O22" s="58"/>
      <c r="P22" s="72">
        <v>457.83</v>
      </c>
      <c r="R22" s="47" t="s">
        <v>61</v>
      </c>
      <c r="S22" s="115" t="s">
        <v>62</v>
      </c>
      <c r="T22" s="115"/>
      <c r="U22" s="115"/>
      <c r="V22" s="115"/>
      <c r="W22" s="115"/>
      <c r="X22" t="s">
        <v>63</v>
      </c>
      <c r="Y22" s="47" t="s">
        <v>64</v>
      </c>
      <c r="Z22" t="s">
        <v>60</v>
      </c>
      <c r="AA22" s="47" t="s">
        <v>118</v>
      </c>
      <c r="AB22" s="46" t="s">
        <v>192</v>
      </c>
      <c r="AC22" s="46" t="s">
        <v>192</v>
      </c>
      <c r="AD22" s="46" t="s">
        <v>166</v>
      </c>
      <c r="AF22" s="47" t="s">
        <v>123</v>
      </c>
    </row>
    <row r="23" spans="1:32" ht="255" x14ac:dyDescent="0.25">
      <c r="A23" s="60"/>
      <c r="B23" s="56" t="s">
        <v>88</v>
      </c>
      <c r="C23" s="112" t="s">
        <v>89</v>
      </c>
      <c r="D23" s="112"/>
      <c r="E23" s="112"/>
      <c r="F23" s="112"/>
      <c r="G23" s="112"/>
      <c r="H23" s="57" t="s">
        <v>90</v>
      </c>
      <c r="I23" s="64">
        <v>32.951999999999998</v>
      </c>
      <c r="J23" s="58"/>
      <c r="K23" s="59">
        <v>888.34795929999996</v>
      </c>
      <c r="L23" s="73"/>
      <c r="M23" s="74"/>
      <c r="N23" s="75">
        <v>7.68</v>
      </c>
      <c r="O23" s="58"/>
      <c r="P23" s="72">
        <v>6822.51</v>
      </c>
      <c r="R23" s="47" t="s">
        <v>61</v>
      </c>
      <c r="S23" s="115" t="s">
        <v>62</v>
      </c>
      <c r="T23" s="115"/>
      <c r="U23" s="115"/>
      <c r="V23" s="115"/>
      <c r="W23" s="115"/>
      <c r="X23" t="s">
        <v>63</v>
      </c>
      <c r="Y23" s="47" t="s">
        <v>64</v>
      </c>
      <c r="Z23" t="s">
        <v>60</v>
      </c>
      <c r="AA23" s="47" t="s">
        <v>118</v>
      </c>
      <c r="AB23" s="46" t="s">
        <v>192</v>
      </c>
      <c r="AC23" s="46" t="s">
        <v>192</v>
      </c>
      <c r="AD23" s="46" t="s">
        <v>166</v>
      </c>
      <c r="AF23" s="47" t="s">
        <v>123</v>
      </c>
    </row>
    <row r="24" spans="1:32" ht="22.5" x14ac:dyDescent="0.25">
      <c r="A24" s="60"/>
      <c r="B24" s="56" t="s">
        <v>91</v>
      </c>
      <c r="C24" s="112" t="s">
        <v>92</v>
      </c>
      <c r="D24" s="112"/>
      <c r="E24" s="112"/>
      <c r="F24" s="112"/>
      <c r="G24" s="112"/>
      <c r="H24" s="57" t="s">
        <v>87</v>
      </c>
      <c r="I24" s="63">
        <v>25.9</v>
      </c>
      <c r="J24" s="58"/>
      <c r="K24" s="59">
        <v>698.23416320000001</v>
      </c>
      <c r="L24" s="77">
        <v>155.63</v>
      </c>
      <c r="M24" s="79">
        <v>1</v>
      </c>
      <c r="N24" s="75">
        <v>155.63</v>
      </c>
      <c r="O24" s="58"/>
      <c r="P24" s="72">
        <v>108666.18</v>
      </c>
    </row>
    <row r="25" spans="1:32" ht="22.5" x14ac:dyDescent="0.25">
      <c r="A25" s="60"/>
      <c r="B25" s="56" t="s">
        <v>93</v>
      </c>
      <c r="C25" s="112" t="s">
        <v>94</v>
      </c>
      <c r="D25" s="112"/>
      <c r="E25" s="112"/>
      <c r="F25" s="112"/>
      <c r="G25" s="112"/>
      <c r="H25" s="57" t="s">
        <v>87</v>
      </c>
      <c r="I25" s="63">
        <v>0.3</v>
      </c>
      <c r="J25" s="58"/>
      <c r="K25" s="59">
        <v>8.0876543999999999</v>
      </c>
      <c r="L25" s="77">
        <v>174.93</v>
      </c>
      <c r="M25" s="78">
        <v>1.18</v>
      </c>
      <c r="N25" s="75">
        <v>206.42</v>
      </c>
      <c r="O25" s="58"/>
      <c r="P25" s="72">
        <v>1669.45</v>
      </c>
    </row>
    <row r="26" spans="1:32" ht="22.5" x14ac:dyDescent="0.25">
      <c r="A26" s="60"/>
      <c r="B26" s="56" t="s">
        <v>95</v>
      </c>
      <c r="C26" s="112" t="s">
        <v>96</v>
      </c>
      <c r="D26" s="112"/>
      <c r="E26" s="112"/>
      <c r="F26" s="112"/>
      <c r="G26" s="112"/>
      <c r="H26" s="57" t="s">
        <v>24</v>
      </c>
      <c r="I26" s="65">
        <v>1.0000000000000001E-5</v>
      </c>
      <c r="J26" s="58"/>
      <c r="K26" s="59">
        <v>2.6959999999999999E-4</v>
      </c>
      <c r="L26" s="80">
        <v>70296.2</v>
      </c>
      <c r="M26" s="81">
        <v>1.3</v>
      </c>
      <c r="N26" s="75">
        <v>91385.06</v>
      </c>
      <c r="O26" s="58"/>
      <c r="P26" s="72">
        <v>24.64</v>
      </c>
    </row>
    <row r="27" spans="1:32" ht="22.5" x14ac:dyDescent="0.25">
      <c r="A27" s="60"/>
      <c r="B27" s="56" t="s">
        <v>97</v>
      </c>
      <c r="C27" s="112" t="s">
        <v>98</v>
      </c>
      <c r="D27" s="112"/>
      <c r="E27" s="112"/>
      <c r="F27" s="112"/>
      <c r="G27" s="112"/>
      <c r="H27" s="57" t="s">
        <v>24</v>
      </c>
      <c r="I27" s="66">
        <v>1E-4</v>
      </c>
      <c r="J27" s="58"/>
      <c r="K27" s="59">
        <v>2.6959000000000002E-3</v>
      </c>
      <c r="L27" s="80">
        <v>231787.35</v>
      </c>
      <c r="M27" s="81">
        <v>1.5</v>
      </c>
      <c r="N27" s="75">
        <v>347681.03</v>
      </c>
      <c r="O27" s="58"/>
      <c r="P27" s="72">
        <v>937.31</v>
      </c>
    </row>
    <row r="28" spans="1:32" ht="22.5" x14ac:dyDescent="0.25">
      <c r="A28" s="60"/>
      <c r="B28" s="56" t="s">
        <v>99</v>
      </c>
      <c r="C28" s="112" t="s">
        <v>100</v>
      </c>
      <c r="D28" s="112"/>
      <c r="E28" s="112"/>
      <c r="F28" s="112"/>
      <c r="G28" s="112"/>
      <c r="H28" s="57" t="s">
        <v>24</v>
      </c>
      <c r="I28" s="64">
        <v>2.7E-2</v>
      </c>
      <c r="J28" s="58"/>
      <c r="K28" s="59">
        <v>0.72788889999999995</v>
      </c>
      <c r="L28" s="80">
        <v>105278.81</v>
      </c>
      <c r="M28" s="78">
        <v>1.27</v>
      </c>
      <c r="N28" s="75">
        <v>133704.09</v>
      </c>
      <c r="O28" s="58"/>
      <c r="P28" s="72">
        <v>97321.72</v>
      </c>
    </row>
    <row r="29" spans="1:32" ht="22.5" x14ac:dyDescent="0.25">
      <c r="A29" s="60"/>
      <c r="B29" s="56" t="s">
        <v>101</v>
      </c>
      <c r="C29" s="112" t="s">
        <v>102</v>
      </c>
      <c r="D29" s="112"/>
      <c r="E29" s="112"/>
      <c r="F29" s="112"/>
      <c r="G29" s="112"/>
      <c r="H29" s="57" t="s">
        <v>103</v>
      </c>
      <c r="I29" s="66">
        <v>1.8700000000000001E-2</v>
      </c>
      <c r="J29" s="58"/>
      <c r="K29" s="59">
        <v>0.50413050000000004</v>
      </c>
      <c r="L29" s="77">
        <v>307.83999999999997</v>
      </c>
      <c r="M29" s="78">
        <v>1.06</v>
      </c>
      <c r="N29" s="75">
        <v>326.31</v>
      </c>
      <c r="O29" s="58"/>
      <c r="P29" s="72">
        <v>164.5</v>
      </c>
    </row>
    <row r="30" spans="1:32" ht="22.5" x14ac:dyDescent="0.25">
      <c r="A30" s="60"/>
      <c r="B30" s="56" t="s">
        <v>104</v>
      </c>
      <c r="C30" s="112" t="s">
        <v>105</v>
      </c>
      <c r="D30" s="112"/>
      <c r="E30" s="112"/>
      <c r="F30" s="112"/>
      <c r="G30" s="112"/>
      <c r="H30" s="57" t="s">
        <v>24</v>
      </c>
      <c r="I30" s="65">
        <v>3.0000000000000001E-5</v>
      </c>
      <c r="J30" s="58"/>
      <c r="K30" s="59">
        <v>8.0880000000000004E-4</v>
      </c>
      <c r="L30" s="80">
        <v>60258.2</v>
      </c>
      <c r="M30" s="78">
        <v>1.08</v>
      </c>
      <c r="N30" s="75">
        <v>65078.86</v>
      </c>
      <c r="O30" s="58"/>
      <c r="P30" s="72">
        <v>52.64</v>
      </c>
    </row>
    <row r="31" spans="1:32" ht="22.5" x14ac:dyDescent="0.25">
      <c r="A31" s="60"/>
      <c r="B31" s="56" t="s">
        <v>106</v>
      </c>
      <c r="C31" s="112" t="s">
        <v>107</v>
      </c>
      <c r="D31" s="112"/>
      <c r="E31" s="112"/>
      <c r="F31" s="112"/>
      <c r="G31" s="112"/>
      <c r="H31" s="57" t="s">
        <v>24</v>
      </c>
      <c r="I31" s="65">
        <v>1.9400000000000001E-3</v>
      </c>
      <c r="J31" s="58"/>
      <c r="K31" s="59">
        <v>5.2300199999999998E-2</v>
      </c>
      <c r="L31" s="80">
        <v>136760</v>
      </c>
      <c r="M31" s="78">
        <v>1.0900000000000001</v>
      </c>
      <c r="N31" s="75">
        <v>149068.4</v>
      </c>
      <c r="O31" s="58"/>
      <c r="P31" s="72">
        <v>7796.31</v>
      </c>
    </row>
    <row r="32" spans="1:32" ht="22.5" x14ac:dyDescent="0.25">
      <c r="A32" s="60"/>
      <c r="B32" s="56" t="s">
        <v>108</v>
      </c>
      <c r="C32" s="112" t="s">
        <v>109</v>
      </c>
      <c r="D32" s="112"/>
      <c r="E32" s="112"/>
      <c r="F32" s="112"/>
      <c r="G32" s="112"/>
      <c r="H32" s="57" t="s">
        <v>84</v>
      </c>
      <c r="I32" s="64">
        <v>1.7000000000000001E-2</v>
      </c>
      <c r="J32" s="58"/>
      <c r="K32" s="59">
        <v>0.4583004</v>
      </c>
      <c r="L32" s="80">
        <v>10082.68</v>
      </c>
      <c r="M32" s="81">
        <v>1.4</v>
      </c>
      <c r="N32" s="75">
        <v>14115.75</v>
      </c>
      <c r="O32" s="58"/>
      <c r="P32" s="72">
        <v>6469.25</v>
      </c>
    </row>
    <row r="33" spans="1:16" ht="22.5" x14ac:dyDescent="0.25">
      <c r="A33" s="60"/>
      <c r="B33" s="56" t="s">
        <v>110</v>
      </c>
      <c r="C33" s="112" t="s">
        <v>111</v>
      </c>
      <c r="D33" s="112"/>
      <c r="E33" s="112"/>
      <c r="F33" s="112"/>
      <c r="G33" s="112"/>
      <c r="H33" s="57" t="s">
        <v>24</v>
      </c>
      <c r="I33" s="65">
        <v>4.3099999999999996E-3</v>
      </c>
      <c r="J33" s="58"/>
      <c r="K33" s="59">
        <v>0.11619259999999999</v>
      </c>
      <c r="L33" s="80">
        <v>51280.15</v>
      </c>
      <c r="M33" s="78">
        <v>1.58</v>
      </c>
      <c r="N33" s="75">
        <v>81022.64</v>
      </c>
      <c r="O33" s="58"/>
      <c r="P33" s="72">
        <v>9414.23</v>
      </c>
    </row>
    <row r="34" spans="1:16" ht="22.5" x14ac:dyDescent="0.25">
      <c r="A34" s="60"/>
      <c r="B34" s="56" t="s">
        <v>112</v>
      </c>
      <c r="C34" s="112" t="s">
        <v>113</v>
      </c>
      <c r="D34" s="112"/>
      <c r="E34" s="112"/>
      <c r="F34" s="112"/>
      <c r="G34" s="112"/>
      <c r="H34" s="57" t="s">
        <v>24</v>
      </c>
      <c r="I34" s="66">
        <v>5.9999999999999995E-4</v>
      </c>
      <c r="J34" s="58"/>
      <c r="K34" s="59">
        <v>1.61753E-2</v>
      </c>
      <c r="L34" s="80">
        <v>98526.45</v>
      </c>
      <c r="M34" s="78">
        <v>1.45</v>
      </c>
      <c r="N34" s="75">
        <v>142863.35</v>
      </c>
      <c r="O34" s="58"/>
      <c r="P34" s="72">
        <v>2310.86</v>
      </c>
    </row>
    <row r="35" spans="1:16" x14ac:dyDescent="0.25">
      <c r="A35" s="67"/>
      <c r="B35" s="54"/>
      <c r="C35" s="113" t="s">
        <v>53</v>
      </c>
      <c r="D35" s="113"/>
      <c r="E35" s="113"/>
      <c r="F35" s="113"/>
      <c r="G35" s="113"/>
      <c r="H35" s="50"/>
      <c r="I35" s="51"/>
      <c r="J35" s="51"/>
      <c r="K35" s="51"/>
      <c r="L35" s="82"/>
      <c r="M35" s="51"/>
      <c r="N35" s="83"/>
      <c r="O35" s="51"/>
      <c r="P35" s="84">
        <v>4333793.5999999996</v>
      </c>
    </row>
    <row r="36" spans="1:16" x14ac:dyDescent="0.25">
      <c r="A36" s="62"/>
      <c r="B36" s="56"/>
      <c r="C36" s="112" t="s">
        <v>54</v>
      </c>
      <c r="D36" s="112"/>
      <c r="E36" s="112"/>
      <c r="F36" s="112"/>
      <c r="G36" s="112"/>
      <c r="H36" s="57"/>
      <c r="I36" s="58"/>
      <c r="J36" s="58"/>
      <c r="K36" s="58"/>
      <c r="L36" s="71"/>
      <c r="M36" s="58"/>
      <c r="N36" s="71"/>
      <c r="O36" s="58"/>
      <c r="P36" s="72">
        <v>3960420.87</v>
      </c>
    </row>
    <row r="37" spans="1:16" ht="22.5" x14ac:dyDescent="0.25">
      <c r="A37" s="62"/>
      <c r="B37" s="56" t="s">
        <v>114</v>
      </c>
      <c r="C37" s="112" t="s">
        <v>115</v>
      </c>
      <c r="D37" s="112"/>
      <c r="E37" s="112"/>
      <c r="F37" s="112"/>
      <c r="G37" s="112"/>
      <c r="H37" s="57" t="s">
        <v>55</v>
      </c>
      <c r="I37" s="68">
        <v>93</v>
      </c>
      <c r="J37" s="58"/>
      <c r="K37" s="68">
        <v>93</v>
      </c>
      <c r="L37" s="71"/>
      <c r="M37" s="58"/>
      <c r="N37" s="71"/>
      <c r="O37" s="58"/>
      <c r="P37" s="72">
        <v>3683191.41</v>
      </c>
    </row>
    <row r="38" spans="1:16" ht="22.5" x14ac:dyDescent="0.25">
      <c r="A38" s="62"/>
      <c r="B38" s="56" t="s">
        <v>116</v>
      </c>
      <c r="C38" s="112" t="s">
        <v>117</v>
      </c>
      <c r="D38" s="112"/>
      <c r="E38" s="112"/>
      <c r="F38" s="112"/>
      <c r="G38" s="112"/>
      <c r="H38" s="57" t="s">
        <v>55</v>
      </c>
      <c r="I38" s="68">
        <v>62</v>
      </c>
      <c r="J38" s="58"/>
      <c r="K38" s="68">
        <v>62</v>
      </c>
      <c r="L38" s="71"/>
      <c r="M38" s="58"/>
      <c r="N38" s="71"/>
      <c r="O38" s="58"/>
      <c r="P38" s="72">
        <v>2455460.94</v>
      </c>
    </row>
    <row r="39" spans="1:16" x14ac:dyDescent="0.25">
      <c r="A39" s="69"/>
      <c r="B39" s="70"/>
      <c r="C39" s="113" t="s">
        <v>56</v>
      </c>
      <c r="D39" s="113"/>
      <c r="E39" s="113"/>
      <c r="F39" s="113"/>
      <c r="G39" s="113"/>
      <c r="H39" s="50"/>
      <c r="I39" s="51"/>
      <c r="J39" s="51"/>
      <c r="K39" s="51"/>
      <c r="L39" s="82"/>
      <c r="M39" s="51"/>
      <c r="N39" s="83">
        <v>388460.44</v>
      </c>
      <c r="O39" s="51"/>
      <c r="P39" s="84">
        <v>10472445.949999999</v>
      </c>
    </row>
    <row r="40" spans="1:16" ht="56.25" x14ac:dyDescent="0.25">
      <c r="A40" s="48" t="s">
        <v>119</v>
      </c>
      <c r="B40" s="49" t="s">
        <v>120</v>
      </c>
      <c r="C40" s="114" t="s">
        <v>121</v>
      </c>
      <c r="D40" s="114"/>
      <c r="E40" s="114"/>
      <c r="F40" s="114"/>
      <c r="G40" s="114"/>
      <c r="H40" s="50" t="s">
        <v>57</v>
      </c>
      <c r="I40" s="51">
        <v>4</v>
      </c>
      <c r="J40" s="52">
        <v>1</v>
      </c>
      <c r="K40" s="52">
        <v>4</v>
      </c>
      <c r="L40" s="82"/>
      <c r="M40" s="51"/>
      <c r="N40" s="85">
        <v>1588709.31</v>
      </c>
      <c r="O40" s="51"/>
      <c r="P40" s="84">
        <v>6354837.2400000002</v>
      </c>
    </row>
    <row r="41" spans="1:16" x14ac:dyDescent="0.25">
      <c r="A41" s="69"/>
      <c r="B41" s="70"/>
      <c r="C41" s="113" t="s">
        <v>56</v>
      </c>
      <c r="D41" s="113"/>
      <c r="E41" s="113"/>
      <c r="F41" s="113"/>
      <c r="G41" s="113"/>
      <c r="H41" s="50"/>
      <c r="I41" s="51"/>
      <c r="J41" s="51"/>
      <c r="K41" s="51"/>
      <c r="L41" s="82"/>
      <c r="M41" s="51"/>
      <c r="N41" s="82"/>
      <c r="O41" s="51"/>
      <c r="P41" s="84">
        <v>6354837.2400000002</v>
      </c>
    </row>
  </sheetData>
  <mergeCells count="63">
    <mergeCell ref="I1:K2"/>
    <mergeCell ref="L1:P2"/>
    <mergeCell ref="S14:W14"/>
    <mergeCell ref="S16:W16"/>
    <mergeCell ref="C9:G9"/>
    <mergeCell ref="A1:A3"/>
    <mergeCell ref="B1:B3"/>
    <mergeCell ref="C1:G3"/>
    <mergeCell ref="H1:H3"/>
    <mergeCell ref="C4:G4"/>
    <mergeCell ref="C5:G5"/>
    <mergeCell ref="C6:K6"/>
    <mergeCell ref="C7:G7"/>
    <mergeCell ref="C8:G8"/>
    <mergeCell ref="C10:G10"/>
    <mergeCell ref="C11:G11"/>
    <mergeCell ref="C12:G12"/>
    <mergeCell ref="C13:G13"/>
    <mergeCell ref="C14:G14"/>
    <mergeCell ref="AB1:AF2"/>
    <mergeCell ref="S4:W4"/>
    <mergeCell ref="S5:W5"/>
    <mergeCell ref="S8:W8"/>
    <mergeCell ref="C23:G23"/>
    <mergeCell ref="C22:G22"/>
    <mergeCell ref="Q1:Q3"/>
    <mergeCell ref="R1:R3"/>
    <mergeCell ref="S1:W3"/>
    <mergeCell ref="X1:X3"/>
    <mergeCell ref="Y1:AA2"/>
    <mergeCell ref="C16:G16"/>
    <mergeCell ref="C17:G17"/>
    <mergeCell ref="C18:G18"/>
    <mergeCell ref="C19:G19"/>
    <mergeCell ref="C20:G20"/>
    <mergeCell ref="C33:G33"/>
    <mergeCell ref="C34:G34"/>
    <mergeCell ref="C35:G35"/>
    <mergeCell ref="C36:G36"/>
    <mergeCell ref="C25:G25"/>
    <mergeCell ref="C26:G26"/>
    <mergeCell ref="C27:G27"/>
    <mergeCell ref="C28:G28"/>
    <mergeCell ref="C29:G29"/>
    <mergeCell ref="C30:G30"/>
    <mergeCell ref="S11:W11"/>
    <mergeCell ref="S12:W12"/>
    <mergeCell ref="S13:W13"/>
    <mergeCell ref="C31:G31"/>
    <mergeCell ref="C32:G32"/>
    <mergeCell ref="C24:G24"/>
    <mergeCell ref="C21:G21"/>
    <mergeCell ref="S17:W17"/>
    <mergeCell ref="S18:W18"/>
    <mergeCell ref="S19:W19"/>
    <mergeCell ref="S21:W21"/>
    <mergeCell ref="S22:W22"/>
    <mergeCell ref="S23:W23"/>
    <mergeCell ref="C37:G37"/>
    <mergeCell ref="C38:G38"/>
    <mergeCell ref="C39:G39"/>
    <mergeCell ref="C40:G40"/>
    <mergeCell ref="C41:G4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6942-3160-4B31-A3FA-FD2E438A9CF1}">
  <dimension ref="A1:J8"/>
  <sheetViews>
    <sheetView workbookViewId="0">
      <selection activeCell="U9" sqref="U9"/>
    </sheetView>
  </sheetViews>
  <sheetFormatPr defaultRowHeight="15" x14ac:dyDescent="0.25"/>
  <cols>
    <col min="2" max="2" width="19.42578125" customWidth="1"/>
    <col min="3" max="3" width="21.7109375" customWidth="1"/>
    <col min="9" max="9" width="19.42578125" customWidth="1"/>
  </cols>
  <sheetData>
    <row r="1" spans="1:10" ht="220.5" x14ac:dyDescent="0.25">
      <c r="A1" s="118" t="s">
        <v>168</v>
      </c>
      <c r="B1" s="118" t="s">
        <v>169</v>
      </c>
      <c r="C1" s="118" t="s">
        <v>29</v>
      </c>
      <c r="D1" s="118" t="s">
        <v>170</v>
      </c>
      <c r="E1" s="118" t="s">
        <v>171</v>
      </c>
      <c r="F1" s="118" t="s">
        <v>172</v>
      </c>
      <c r="G1" s="118" t="s">
        <v>173</v>
      </c>
      <c r="H1" s="118" t="s">
        <v>174</v>
      </c>
      <c r="I1" s="118" t="s">
        <v>175</v>
      </c>
      <c r="J1" s="119"/>
    </row>
    <row r="2" spans="1:10" ht="15.75" x14ac:dyDescent="0.25">
      <c r="A2" s="120">
        <v>1</v>
      </c>
      <c r="B2" s="120">
        <v>2</v>
      </c>
      <c r="C2" s="120">
        <v>3</v>
      </c>
      <c r="D2" s="120">
        <v>4</v>
      </c>
      <c r="E2" s="120">
        <v>5</v>
      </c>
      <c r="F2" s="120">
        <v>6</v>
      </c>
      <c r="G2" s="120">
        <v>7</v>
      </c>
      <c r="H2" s="120">
        <v>8</v>
      </c>
      <c r="I2" s="120">
        <v>9</v>
      </c>
      <c r="J2" s="119" t="s">
        <v>176</v>
      </c>
    </row>
    <row r="3" spans="1:10" ht="15.75" x14ac:dyDescent="0.25">
      <c r="A3" s="121" t="s">
        <v>177</v>
      </c>
      <c r="B3" s="121" t="s">
        <v>178</v>
      </c>
      <c r="C3" s="122" t="s">
        <v>84</v>
      </c>
      <c r="D3" s="123">
        <v>6422.27</v>
      </c>
      <c r="E3" s="123">
        <v>6881.3</v>
      </c>
      <c r="F3" s="124">
        <v>488</v>
      </c>
      <c r="G3" s="121" t="s">
        <v>179</v>
      </c>
      <c r="H3" s="125" t="s">
        <v>180</v>
      </c>
      <c r="I3" s="125" t="s">
        <v>180</v>
      </c>
      <c r="J3" s="119" t="s">
        <v>181</v>
      </c>
    </row>
    <row r="4" spans="1:10" ht="15.75" x14ac:dyDescent="0.25">
      <c r="A4" s="121" t="s">
        <v>182</v>
      </c>
      <c r="B4" s="121" t="s">
        <v>183</v>
      </c>
      <c r="C4" s="122" t="s">
        <v>84</v>
      </c>
      <c r="D4" s="123">
        <v>7800.34</v>
      </c>
      <c r="E4" s="123">
        <v>8353.0499999999993</v>
      </c>
      <c r="F4" s="124">
        <v>488</v>
      </c>
      <c r="G4" s="121" t="s">
        <v>179</v>
      </c>
      <c r="H4" s="125" t="s">
        <v>180</v>
      </c>
      <c r="I4" s="125" t="s">
        <v>180</v>
      </c>
      <c r="J4" s="119" t="s">
        <v>181</v>
      </c>
    </row>
    <row r="5" spans="1:10" ht="15.75" x14ac:dyDescent="0.25">
      <c r="A5" s="121" t="s">
        <v>184</v>
      </c>
      <c r="B5" s="121" t="s">
        <v>185</v>
      </c>
      <c r="C5" s="122" t="s">
        <v>84</v>
      </c>
      <c r="D5" s="123">
        <v>6163.5</v>
      </c>
      <c r="E5" s="123">
        <v>6617.35</v>
      </c>
      <c r="F5" s="124">
        <v>488</v>
      </c>
      <c r="G5" s="121" t="s">
        <v>179</v>
      </c>
      <c r="H5" s="125" t="s">
        <v>180</v>
      </c>
      <c r="I5" s="125" t="s">
        <v>180</v>
      </c>
      <c r="J5" s="119" t="s">
        <v>181</v>
      </c>
    </row>
    <row r="6" spans="1:10" ht="15.75" x14ac:dyDescent="0.25">
      <c r="A6" s="121" t="s">
        <v>186</v>
      </c>
      <c r="B6" s="121" t="s">
        <v>187</v>
      </c>
      <c r="C6" s="122" t="s">
        <v>84</v>
      </c>
      <c r="D6" s="123">
        <v>7231.7</v>
      </c>
      <c r="E6" s="123">
        <v>7751</v>
      </c>
      <c r="F6" s="124">
        <v>488</v>
      </c>
      <c r="G6" s="121" t="s">
        <v>179</v>
      </c>
      <c r="H6" s="125" t="s">
        <v>180</v>
      </c>
      <c r="I6" s="125" t="s">
        <v>180</v>
      </c>
      <c r="J6" s="119" t="s">
        <v>181</v>
      </c>
    </row>
    <row r="7" spans="1:10" ht="15.75" x14ac:dyDescent="0.25">
      <c r="A7" s="121" t="s">
        <v>188</v>
      </c>
      <c r="B7" s="121" t="s">
        <v>189</v>
      </c>
      <c r="C7" s="122" t="s">
        <v>84</v>
      </c>
      <c r="D7" s="123">
        <v>8006.61</v>
      </c>
      <c r="E7" s="123">
        <v>8563.4500000000007</v>
      </c>
      <c r="F7" s="124">
        <v>488</v>
      </c>
      <c r="G7" s="121" t="s">
        <v>179</v>
      </c>
      <c r="H7" s="125" t="s">
        <v>180</v>
      </c>
      <c r="I7" s="125" t="s">
        <v>180</v>
      </c>
      <c r="J7" s="119" t="s">
        <v>181</v>
      </c>
    </row>
    <row r="8" spans="1:10" ht="15.75" x14ac:dyDescent="0.25">
      <c r="A8" s="121" t="s">
        <v>190</v>
      </c>
      <c r="B8" s="121" t="s">
        <v>191</v>
      </c>
      <c r="C8" s="122" t="s">
        <v>84</v>
      </c>
      <c r="D8" s="123">
        <v>7038.86</v>
      </c>
      <c r="E8" s="123">
        <v>7554.31</v>
      </c>
      <c r="F8" s="124">
        <v>488</v>
      </c>
      <c r="G8" s="121" t="s">
        <v>179</v>
      </c>
      <c r="H8" s="125" t="s">
        <v>180</v>
      </c>
      <c r="I8" s="125" t="s">
        <v>180</v>
      </c>
      <c r="J8" s="119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9C46-9DE8-4A80-80D0-1EBCC57B73E8}">
  <dimension ref="A1:D32"/>
  <sheetViews>
    <sheetView topLeftCell="A10" workbookViewId="0">
      <selection activeCell="A30" sqref="A30"/>
    </sheetView>
  </sheetViews>
  <sheetFormatPr defaultRowHeight="15" x14ac:dyDescent="0.25"/>
  <cols>
    <col min="1" max="1" width="15" customWidth="1"/>
    <col min="2" max="2" width="80" customWidth="1"/>
  </cols>
  <sheetData>
    <row r="1" spans="1:4" ht="31.5" x14ac:dyDescent="0.25">
      <c r="A1" s="86" t="s">
        <v>130</v>
      </c>
      <c r="B1" s="87" t="s">
        <v>131</v>
      </c>
      <c r="C1" s="3"/>
      <c r="D1" s="88" t="s">
        <v>2</v>
      </c>
    </row>
    <row r="2" spans="1:4" x14ac:dyDescent="0.25">
      <c r="A2" s="117" t="s">
        <v>3</v>
      </c>
      <c r="B2" s="107"/>
      <c r="C2" s="107"/>
      <c r="D2" s="107"/>
    </row>
    <row r="3" spans="1:4" x14ac:dyDescent="0.25">
      <c r="A3" s="3">
        <v>1</v>
      </c>
      <c r="B3" s="107" t="s">
        <v>132</v>
      </c>
      <c r="C3" s="107"/>
      <c r="D3" s="107"/>
    </row>
    <row r="4" spans="1:4" x14ac:dyDescent="0.25">
      <c r="A4" s="3">
        <v>2</v>
      </c>
      <c r="B4" s="107" t="s">
        <v>133</v>
      </c>
      <c r="C4" s="107"/>
      <c r="D4" s="107"/>
    </row>
    <row r="5" spans="1:4" x14ac:dyDescent="0.25">
      <c r="A5" s="3">
        <v>3</v>
      </c>
      <c r="B5" s="107" t="s">
        <v>134</v>
      </c>
      <c r="C5" s="107"/>
      <c r="D5" s="107"/>
    </row>
    <row r="6" spans="1:4" x14ac:dyDescent="0.25">
      <c r="A6" s="117" t="s">
        <v>5</v>
      </c>
      <c r="B6" s="107"/>
      <c r="C6" s="107"/>
      <c r="D6" s="107"/>
    </row>
    <row r="7" spans="1:4" x14ac:dyDescent="0.25">
      <c r="A7" s="89" t="s">
        <v>6</v>
      </c>
      <c r="B7" s="89" t="s">
        <v>7</v>
      </c>
      <c r="C7" s="89" t="s">
        <v>8</v>
      </c>
      <c r="D7" s="89" t="s">
        <v>9</v>
      </c>
    </row>
    <row r="8" spans="1:4" x14ac:dyDescent="0.25">
      <c r="A8" s="3" t="s">
        <v>71</v>
      </c>
      <c r="B8" s="5" t="s">
        <v>135</v>
      </c>
      <c r="C8" s="6" t="s">
        <v>136</v>
      </c>
      <c r="D8" s="3" t="s">
        <v>12</v>
      </c>
    </row>
    <row r="9" spans="1:4" x14ac:dyDescent="0.25">
      <c r="A9" s="3">
        <v>2</v>
      </c>
      <c r="B9" s="5" t="s">
        <v>13</v>
      </c>
      <c r="C9" s="6" t="s">
        <v>137</v>
      </c>
      <c r="D9" s="3" t="s">
        <v>12</v>
      </c>
    </row>
    <row r="10" spans="1:4" x14ac:dyDescent="0.25">
      <c r="A10" s="3" t="s">
        <v>15</v>
      </c>
      <c r="B10" s="5" t="s">
        <v>16</v>
      </c>
      <c r="C10" s="6" t="s">
        <v>138</v>
      </c>
      <c r="D10" s="3" t="s">
        <v>18</v>
      </c>
    </row>
    <row r="11" spans="1:4" x14ac:dyDescent="0.25">
      <c r="A11" s="3" t="s">
        <v>73</v>
      </c>
      <c r="B11" s="5" t="s">
        <v>74</v>
      </c>
      <c r="C11" s="6" t="s">
        <v>139</v>
      </c>
      <c r="D11" s="3" t="s">
        <v>18</v>
      </c>
    </row>
    <row r="12" spans="1:4" x14ac:dyDescent="0.25">
      <c r="A12" s="3" t="s">
        <v>75</v>
      </c>
      <c r="B12" s="5" t="s">
        <v>76</v>
      </c>
      <c r="C12" s="6" t="s">
        <v>140</v>
      </c>
      <c r="D12" s="3" t="s">
        <v>18</v>
      </c>
    </row>
    <row r="13" spans="1:4" x14ac:dyDescent="0.25">
      <c r="A13" s="3" t="s">
        <v>19</v>
      </c>
      <c r="B13" s="5" t="s">
        <v>20</v>
      </c>
      <c r="C13" s="6" t="s">
        <v>141</v>
      </c>
      <c r="D13" s="3" t="s">
        <v>18</v>
      </c>
    </row>
    <row r="14" spans="1:4" x14ac:dyDescent="0.25">
      <c r="A14" s="3" t="s">
        <v>77</v>
      </c>
      <c r="B14" s="5" t="s">
        <v>78</v>
      </c>
      <c r="C14" s="6" t="s">
        <v>142</v>
      </c>
      <c r="D14" s="3" t="s">
        <v>18</v>
      </c>
    </row>
    <row r="15" spans="1:4" x14ac:dyDescent="0.25">
      <c r="A15" s="3" t="s">
        <v>79</v>
      </c>
      <c r="B15" s="5" t="s">
        <v>80</v>
      </c>
      <c r="C15" s="6" t="s">
        <v>143</v>
      </c>
      <c r="D15" s="3" t="s">
        <v>18</v>
      </c>
    </row>
    <row r="16" spans="1:4" x14ac:dyDescent="0.25">
      <c r="A16" s="3" t="s">
        <v>82</v>
      </c>
      <c r="B16" s="5" t="s">
        <v>83</v>
      </c>
      <c r="C16" s="6" t="s">
        <v>144</v>
      </c>
      <c r="D16" s="3" t="s">
        <v>84</v>
      </c>
    </row>
    <row r="17" spans="1:4" x14ac:dyDescent="0.25">
      <c r="A17" s="3" t="s">
        <v>85</v>
      </c>
      <c r="B17" s="5" t="s">
        <v>86</v>
      </c>
      <c r="C17" s="6" t="s">
        <v>145</v>
      </c>
      <c r="D17" s="3" t="s">
        <v>87</v>
      </c>
    </row>
    <row r="18" spans="1:4" x14ac:dyDescent="0.25">
      <c r="A18" s="3" t="s">
        <v>88</v>
      </c>
      <c r="B18" s="5" t="s">
        <v>89</v>
      </c>
      <c r="C18" s="6" t="s">
        <v>146</v>
      </c>
      <c r="D18" s="3" t="s">
        <v>90</v>
      </c>
    </row>
    <row r="19" spans="1:4" ht="30" x14ac:dyDescent="0.25">
      <c r="A19" s="3" t="s">
        <v>91</v>
      </c>
      <c r="B19" s="5" t="s">
        <v>92</v>
      </c>
      <c r="C19" s="6" t="s">
        <v>147</v>
      </c>
      <c r="D19" s="3" t="s">
        <v>87</v>
      </c>
    </row>
    <row r="20" spans="1:4" x14ac:dyDescent="0.25">
      <c r="A20" s="3" t="s">
        <v>93</v>
      </c>
      <c r="B20" s="5" t="s">
        <v>94</v>
      </c>
      <c r="C20" s="6" t="s">
        <v>148</v>
      </c>
      <c r="D20" s="3" t="s">
        <v>87</v>
      </c>
    </row>
    <row r="21" spans="1:4" x14ac:dyDescent="0.25">
      <c r="A21" s="3" t="s">
        <v>95</v>
      </c>
      <c r="B21" s="5" t="s">
        <v>96</v>
      </c>
      <c r="C21" s="6" t="s">
        <v>149</v>
      </c>
      <c r="D21" s="3" t="s">
        <v>24</v>
      </c>
    </row>
    <row r="22" spans="1:4" x14ac:dyDescent="0.25">
      <c r="A22" s="3" t="s">
        <v>97</v>
      </c>
      <c r="B22" s="5" t="s">
        <v>98</v>
      </c>
      <c r="C22" s="6" t="s">
        <v>150</v>
      </c>
      <c r="D22" s="3" t="s">
        <v>24</v>
      </c>
    </row>
    <row r="23" spans="1:4" ht="30" x14ac:dyDescent="0.25">
      <c r="A23" s="3" t="s">
        <v>99</v>
      </c>
      <c r="B23" s="5" t="s">
        <v>100</v>
      </c>
      <c r="C23" s="6" t="s">
        <v>151</v>
      </c>
      <c r="D23" s="3" t="s">
        <v>24</v>
      </c>
    </row>
    <row r="24" spans="1:4" ht="45" x14ac:dyDescent="0.25">
      <c r="A24" s="3" t="s">
        <v>101</v>
      </c>
      <c r="B24" s="5" t="s">
        <v>102</v>
      </c>
      <c r="C24" s="6" t="s">
        <v>152</v>
      </c>
      <c r="D24" s="3" t="s">
        <v>103</v>
      </c>
    </row>
    <row r="25" spans="1:4" x14ac:dyDescent="0.25">
      <c r="A25" s="3" t="s">
        <v>104</v>
      </c>
      <c r="B25" s="5" t="s">
        <v>105</v>
      </c>
      <c r="C25" s="6" t="s">
        <v>153</v>
      </c>
      <c r="D25" s="3" t="s">
        <v>24</v>
      </c>
    </row>
    <row r="26" spans="1:4" x14ac:dyDescent="0.25">
      <c r="A26" s="3" t="s">
        <v>106</v>
      </c>
      <c r="B26" s="5" t="s">
        <v>107</v>
      </c>
      <c r="C26" s="6" t="s">
        <v>154</v>
      </c>
      <c r="D26" s="3" t="s">
        <v>24</v>
      </c>
    </row>
    <row r="27" spans="1:4" ht="30" x14ac:dyDescent="0.25">
      <c r="A27" s="3" t="s">
        <v>108</v>
      </c>
      <c r="B27" s="5" t="s">
        <v>109</v>
      </c>
      <c r="C27" s="6" t="s">
        <v>155</v>
      </c>
      <c r="D27" s="3" t="s">
        <v>84</v>
      </c>
    </row>
    <row r="28" spans="1:4" x14ac:dyDescent="0.25">
      <c r="A28" s="3" t="s">
        <v>110</v>
      </c>
      <c r="B28" s="5" t="s">
        <v>111</v>
      </c>
      <c r="C28" s="6" t="s">
        <v>156</v>
      </c>
      <c r="D28" s="3" t="s">
        <v>24</v>
      </c>
    </row>
    <row r="29" spans="1:4" x14ac:dyDescent="0.25">
      <c r="A29" s="3" t="s">
        <v>112</v>
      </c>
      <c r="B29" s="5" t="s">
        <v>113</v>
      </c>
      <c r="C29" s="6" t="s">
        <v>157</v>
      </c>
      <c r="D29" s="3" t="s">
        <v>24</v>
      </c>
    </row>
    <row r="30" spans="1:4" x14ac:dyDescent="0.25">
      <c r="A30" s="3" t="s">
        <v>158</v>
      </c>
      <c r="B30" s="5" t="s">
        <v>159</v>
      </c>
      <c r="C30" s="6" t="s">
        <v>160</v>
      </c>
      <c r="D30" s="3" t="s">
        <v>24</v>
      </c>
    </row>
    <row r="32" spans="1:4" x14ac:dyDescent="0.25">
      <c r="A32" s="90" t="s">
        <v>161</v>
      </c>
    </row>
  </sheetData>
  <mergeCells count="5">
    <mergeCell ref="A2:D2"/>
    <mergeCell ref="B3:D3"/>
    <mergeCell ref="B4:D4"/>
    <mergeCell ref="B5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ГЭСН 06-03-004-13</vt:lpstr>
      <vt:lpstr>Лист2</vt:lpstr>
      <vt:lpstr>пример</vt:lpstr>
      <vt:lpstr>по_кац</vt:lpstr>
      <vt:lpstr>ГЭСН 09-06-006-03</vt:lpstr>
    </vt:vector>
  </TitlesOfParts>
  <Manager/>
  <Company>fsnb2022.ru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ГЭСН 06-03-004-13</dc:title>
  <dc:subject>ГЭСН 06-03-004-13</dc:subject>
  <dc:creator>fsnb2022.ru</dc:creator>
  <cp:keywords/>
  <dc:description/>
  <cp:lastModifiedBy>Павел Чачаев</cp:lastModifiedBy>
  <cp:lastPrinted>2026-06-24T09:47:27Z</cp:lastPrinted>
  <dcterms:created xsi:type="dcterms:W3CDTF">2026-06-23T21:00:00Z</dcterms:created>
  <dcterms:modified xsi:type="dcterms:W3CDTF">2026-06-24T13:50:03Z</dcterms:modified>
  <cp:category/>
</cp:coreProperties>
</file>