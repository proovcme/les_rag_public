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ЭСН 06-03-004-13" sheetId="1" state="visible" r:id="rId1"/>
    <sheet xmlns:r="http://schemas.openxmlformats.org/officeDocument/2006/relationships" name="ГЭСН 09-06-006-03" sheetId="2" state="visible" r:id="rId2"/>
    <sheet xmlns:r="http://schemas.openxmlformats.org/officeDocument/2006/relationships" name="пример" sheetId="3" state="visible" r:id="rId3"/>
    <sheet xmlns:r="http://schemas.openxmlformats.org/officeDocument/2006/relationships" name="по_кац" sheetId="4" state="visible" r:id="rId4"/>
    <sheet xmlns:r="http://schemas.openxmlformats.org/officeDocument/2006/relationships" name="Лист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ГЭСН 06-03-004-13</t>
        </is>
      </c>
      <c r="B1" t="inlineStr">
        <is>
          <t>Установка закладных деталей весом свыше 20 кг</t>
        </is>
      </c>
      <c r="C1" t="inlineStr">
        <is>
          <t>т</t>
        </is>
      </c>
    </row>
    <row r="2">
      <c r="A2" t="inlineStr">
        <is>
          <t>1-100-35</t>
        </is>
      </c>
      <c r="B2" t="inlineStr">
        <is>
          <t>Труд рабочих</t>
        </is>
      </c>
      <c r="C2" t="n">
        <v>20</v>
      </c>
      <c r="D2" t="inlineStr">
        <is>
          <t>чел.-ч</t>
        </is>
      </c>
    </row>
    <row r="3">
      <c r="A3" t="inlineStr">
        <is>
          <t>2</t>
        </is>
      </c>
      <c r="B3" t="inlineStr">
        <is>
          <t>Затраты труда машинистов</t>
        </is>
      </c>
      <c r="C3" t="n">
        <v>0.33</v>
      </c>
      <c r="D3" t="inlineStr">
        <is>
          <t>чел.-ч</t>
        </is>
      </c>
    </row>
    <row r="4">
      <c r="A4" t="inlineStr">
        <is>
          <t>91.05.05-015</t>
        </is>
      </c>
      <c r="B4" t="inlineStr">
        <is>
          <t>Кран 16 т</t>
        </is>
      </c>
      <c r="C4" t="n">
        <v>0.14</v>
      </c>
      <c r="D4" t="inlineStr">
        <is>
          <t>маш.-ч</t>
        </is>
      </c>
    </row>
    <row r="5">
      <c r="A5" t="inlineStr">
        <is>
          <t>08.4.01.02</t>
        </is>
      </c>
      <c r="B5" t="inlineStr">
        <is>
          <t>Детали закладные</t>
        </is>
      </c>
      <c r="C5" t="n">
        <v>1</v>
      </c>
      <c r="D5" t="inlineStr">
        <is>
          <t>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ГЭСН 09-06-006-03</t>
        </is>
      </c>
      <c r="B1" t="inlineStr">
        <is>
          <t>Монтаж конструкций сцены</t>
        </is>
      </c>
      <c r="C1" t="inlineStr">
        <is>
          <t>т</t>
        </is>
      </c>
    </row>
    <row r="2">
      <c r="A2" t="inlineStr">
        <is>
          <t>1-100-39</t>
        </is>
      </c>
      <c r="B2" t="inlineStr">
        <is>
          <t>Труд рабочих</t>
        </is>
      </c>
      <c r="C2" t="n">
        <v>230.21</v>
      </c>
      <c r="D2" t="inlineStr">
        <is>
          <t>чел.-ч</t>
        </is>
      </c>
    </row>
    <row r="3">
      <c r="A3" t="inlineStr">
        <is>
          <t>2</t>
        </is>
      </c>
      <c r="B3" t="inlineStr">
        <is>
          <t>Затраты труда машинистов</t>
        </is>
      </c>
      <c r="C3" t="n">
        <v>0.86</v>
      </c>
      <c r="D3" t="inlineStr">
        <is>
          <t>чел.-ч</t>
        </is>
      </c>
    </row>
    <row r="4">
      <c r="A4" t="inlineStr">
        <is>
          <t>91.05.05-015</t>
        </is>
      </c>
      <c r="B4" t="inlineStr">
        <is>
          <t>Кран 16 т</t>
        </is>
      </c>
      <c r="C4" t="n">
        <v>0.73</v>
      </c>
      <c r="D4" t="inlineStr">
        <is>
          <t>маш.-ч</t>
        </is>
      </c>
    </row>
    <row r="5">
      <c r="A5" t="inlineStr">
        <is>
          <t>91.06.03-062</t>
        </is>
      </c>
      <c r="B5" t="inlineStr">
        <is>
          <t>Лебёдка 31.39 кН</t>
        </is>
      </c>
      <c r="C5" t="n">
        <v>2.9</v>
      </c>
      <c r="D5" t="inlineStr">
        <is>
          <t>маш.-ч</t>
        </is>
      </c>
    </row>
    <row r="6">
      <c r="A6" t="inlineStr">
        <is>
          <t>01.7.15.06-0111</t>
        </is>
      </c>
      <c r="B6" t="inlineStr">
        <is>
          <t>Кислород</t>
        </is>
      </c>
      <c r="C6" t="n">
        <v>0.8</v>
      </c>
      <c r="D6" t="inlineStr">
        <is>
          <t>м3</t>
        </is>
      </c>
    </row>
    <row r="7">
      <c r="A7" t="inlineStr">
        <is>
          <t>01.7.11.07-0227</t>
        </is>
      </c>
      <c r="B7" t="inlineStr">
        <is>
          <t>Пропан-бутан</t>
        </is>
      </c>
      <c r="C7" t="n">
        <v>0.24</v>
      </c>
      <c r="D7" t="inlineStr">
        <is>
          <t>кг</t>
        </is>
      </c>
    </row>
    <row r="8">
      <c r="A8" t="inlineStr">
        <is>
          <t>07.2.06.06</t>
        </is>
      </c>
      <c r="B8" t="inlineStr">
        <is>
          <t>Материал по потребности</t>
        </is>
      </c>
      <c r="C8" t="inlineStr">
        <is>
          <t>П</t>
        </is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ГЭСН09-06-006-03</t>
        </is>
      </c>
      <c r="C1" t="inlineStr">
        <is>
          <t>Монтаж конструкций сцены</t>
        </is>
      </c>
    </row>
    <row r="2">
      <c r="A2" t="inlineStr">
        <is>
          <t>Кол-во из ВОР</t>
        </is>
      </c>
      <c r="B2" t="n">
        <v>26.958848</v>
      </c>
      <c r="C2" t="inlineStr">
        <is>
          <t>т</t>
        </is>
      </c>
    </row>
    <row r="3">
      <c r="A3" t="inlineStr">
        <is>
          <t>Коэфф стеснённых</t>
        </is>
      </c>
      <c r="B3" t="inlineStr">
        <is>
          <t>Приказ от 30.01.2024 №55/пр прил.5 табл.1 п.5</t>
        </is>
      </c>
      <c r="C3" t="n">
        <v>1.15</v>
      </c>
      <c r="R3" t="inlineStr">
        <is>
          <t>гр.2 = код нормы ГЭСН из сборника</t>
        </is>
      </c>
    </row>
    <row r="4">
      <c r="A4" t="inlineStr">
        <is>
          <t>Труд рабочих</t>
        </is>
      </c>
      <c r="B4" t="inlineStr">
        <is>
          <t>230.21×1.15×26.958848</t>
        </is>
      </c>
      <c r="C4" t="n">
        <v>7137.1258578</v>
      </c>
      <c r="D4" t="n">
        <v>552.21</v>
      </c>
      <c r="E4" t="n">
        <v>3941192.27</v>
      </c>
      <c r="R4" t="inlineStr">
        <is>
          <t>гр.7 = гр.5 * гр.6 (норма × коэффициент)</t>
        </is>
      </c>
    </row>
    <row r="5">
      <c r="A5" t="inlineStr">
        <is>
          <t>ФОТ машинистов</t>
        </is>
      </c>
      <c r="E5" t="n">
        <v>19228.6</v>
      </c>
    </row>
    <row r="6">
      <c r="A6" t="inlineStr">
        <is>
          <t>Эксплуатация машин</t>
        </is>
      </c>
      <c r="E6" t="n">
        <v>127906.66</v>
      </c>
      <c r="R6" t="inlineStr">
        <is>
          <t>выбор расценки производится из гр.8 сплит-формы</t>
        </is>
      </c>
      <c r="Z6">
        <f>R6</f>
        <v/>
      </c>
    </row>
    <row r="7">
      <c r="A7" t="inlineStr">
        <is>
          <t>Материалы</t>
        </is>
      </c>
      <c r="E7" t="n">
        <v>245466.07</v>
      </c>
    </row>
    <row r="8">
      <c r="A8" t="inlineStr">
        <is>
          <t>Прямые затраты</t>
        </is>
      </c>
      <c r="E8" t="n">
        <v>4333793.6</v>
      </c>
      <c r="R8" t="inlineStr">
        <is>
          <t>Код ресурса на машинистов определяется из состава машин (4-100-NN по разряду)</t>
        </is>
      </c>
      <c r="Z8">
        <f>Z6</f>
        <v/>
      </c>
    </row>
    <row r="9">
      <c r="A9" t="inlineStr">
        <is>
          <t>ФОТ</t>
        </is>
      </c>
      <c r="E9" t="n">
        <v>3960420.87</v>
      </c>
    </row>
    <row r="10">
      <c r="A10" t="inlineStr">
        <is>
          <t>НР %</t>
        </is>
      </c>
      <c r="B10" t="n">
        <v>0.93</v>
      </c>
      <c r="E10" t="n">
        <v>3683191.41</v>
      </c>
      <c r="R10" t="inlineStr">
        <is>
          <t>если в гр.8 сплит-формы прочерк — берётся КАЦ/ТЦ (текущая цена)</t>
        </is>
      </c>
    </row>
    <row r="11">
      <c r="A11" t="inlineStr">
        <is>
          <t>СП %</t>
        </is>
      </c>
      <c r="B11" t="n">
        <v>0.62</v>
      </c>
      <c r="E11" t="n">
        <v>2455460.94</v>
      </c>
    </row>
    <row r="12">
      <c r="A12" t="inlineStr">
        <is>
          <t>Итог позиции</t>
        </is>
      </c>
      <c r="E12" t="n">
        <v>10472445.95</v>
      </c>
      <c r="R12" t="inlineStr">
        <is>
          <t>коэффициент 1.15 применяется к ОЗП/ЭМ/ЗПМ (Приказ 55/пр), материалы — без коэффициента</t>
        </is>
      </c>
    </row>
    <row r="13">
      <c r="A13" t="inlineStr">
        <is>
          <t>ТЦ_07.2.03.00_78_7810391323_14.11.2025_02_1.1</t>
        </is>
      </c>
      <c r="B13" t="inlineStr">
        <is>
          <t>Крепежная рама</t>
        </is>
      </c>
      <c r="C13" t="n">
        <v>4</v>
      </c>
      <c r="D13" t="n">
        <v>1588709.31</v>
      </c>
      <c r="E13" t="n">
        <v>6354837.24</v>
      </c>
      <c r="Z13">
        <f>Z12</f>
        <v/>
      </c>
    </row>
    <row r="14">
      <c r="A14" t="inlineStr">
        <is>
          <t>Всего</t>
        </is>
      </c>
      <c r="E14" t="n">
        <v>16827283.19</v>
      </c>
      <c r="Z14">
        <f>Z13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наимен</t>
        </is>
      </c>
      <c r="C1" t="inlineStr">
        <is>
          <t>база</t>
        </is>
      </c>
      <c r="D1" t="inlineStr">
        <is>
          <t>индекс</t>
        </is>
      </c>
      <c r="E1" t="inlineStr">
        <is>
          <t>текущая</t>
        </is>
      </c>
      <c r="F1" t="inlineStr">
        <is>
          <t>группа</t>
        </is>
      </c>
    </row>
    <row r="2">
      <c r="A2" t="inlineStr">
        <is>
          <t>01.7.15.06-0111</t>
        </is>
      </c>
      <c r="B2" t="inlineStr">
        <is>
          <t>Кислород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n">
        <v>488</v>
      </c>
    </row>
    <row r="3">
      <c r="A3" t="inlineStr">
        <is>
          <t>скальные грунты</t>
        </is>
      </c>
      <c r="B3" t="inlineStr">
        <is>
          <t>грунт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1-100-39</t>
        </is>
      </c>
      <c r="B1" t="inlineStr">
        <is>
          <t>Труд рабочих</t>
        </is>
      </c>
      <c r="C1" t="n">
        <v>230.21</v>
      </c>
      <c r="D1" t="inlineStr">
        <is>
          <t>чел.-ч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2026-06-24T14:47:31Z</dcterms:created>
  <dcterms:modified xmlns:dcterms="http://purl.org/dc/terms/" xmlns:xsi="http://www.w3.org/2001/XMLSchema-instance" xsi:type="dcterms:W3CDTF">2026-06-24T14:47:31Z</dcterms:modified>
</cp:coreProperties>
</file>